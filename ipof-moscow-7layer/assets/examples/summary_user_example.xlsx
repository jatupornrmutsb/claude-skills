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" sheetId="1" state="visible" r:id="rId1"/>
    <sheet xmlns:r="http://schemas.openxmlformats.org/officeDocument/2006/relationships" name="ข้อมูลดิบ-ช่องเลือก" sheetId="2" state="visible" r:id="rId2"/>
    <sheet xmlns:r="http://schemas.openxmlformats.org/officeDocument/2006/relationships" name="ข้อมูลดิบ" sheetId="3" state="visible" r:id="rId3"/>
    <sheet xmlns:r="http://schemas.openxmlformats.org/officeDocument/2006/relationships" name="ข้อมูลทั่วไป" sheetId="4" state="visible" r:id="rId4"/>
    <sheet xmlns:r="http://schemas.openxmlformats.org/officeDocument/2006/relationships" name="ค่าเฉลี่ยรายด้าน" sheetId="5" state="visible" r:id="rId5"/>
    <sheet xmlns:r="http://schemas.openxmlformats.org/officeDocument/2006/relationships" name="การเลือกฟังก์ชัน" sheetId="6" state="visible" r:id="rId6"/>
    <sheet xmlns:r="http://schemas.openxmlformats.org/officeDocument/2006/relationships" name="คำตอบปลายเปิ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sz val="14"/>
    </font>
    <font>
      <name val="TH Sarabun New"/>
      <color rgb="000000FF"/>
      <sz val="14"/>
    </font>
    <font>
      <name val="TH Sarabun New"/>
      <b val="1"/>
      <sz val="16"/>
    </font>
    <font>
      <name val="TH Sarabun New"/>
      <i val="1"/>
      <sz val="10"/>
    </font>
    <font>
      <name val="TH Sarabun New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2" fontId="5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2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zoomScale="10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60" customWidth="1" min="3" max="3"/>
  </cols>
  <sheetData>
    <row r="1">
      <c r="A1" s="1" t="inlineStr">
        <is>
          <t>สรุปผล</t>
        </is>
      </c>
    </row>
    <row r="3">
      <c r="A3" s="2" t="inlineStr">
        <is>
          <t>ประเด็น</t>
        </is>
      </c>
      <c r="B3" s="2" t="inlineStr">
        <is>
          <t>ค่า</t>
        </is>
      </c>
      <c r="C3" s="2" t="inlineStr">
        <is>
          <t>หมายเหตุ</t>
        </is>
      </c>
    </row>
    <row r="4">
      <c r="A4" s="3" t="inlineStr">
        <is>
          <t>จำนวนผู้ตอบ (n)</t>
        </is>
      </c>
      <c r="B4" s="3" t="n">
        <v>12</v>
      </c>
      <c r="C4" s="3" t="inlineStr">
        <is>
          <t>นับจากไฟล์แบบสอบถามที่อ่านได้</t>
        </is>
      </c>
    </row>
    <row r="5">
      <c r="A5" s="3" t="inlineStr">
        <is>
          <t>X̄ ปัญหา (P)</t>
        </is>
      </c>
      <c r="B5" s="3">
        <f>'ค่าเฉลี่ยรายด้าน'!D9</f>
        <v/>
      </c>
      <c r="C5" s="3" t="inlineStr">
        <is>
          <t>S.D. ='ค่าเฉลี่ยรายด้าน'!E9</t>
        </is>
      </c>
    </row>
    <row r="6">
      <c r="A6" s="3" t="inlineStr">
        <is>
          <t>X̄ ด้านข้อมูล</t>
        </is>
      </c>
      <c r="B6" s="3">
        <f>'ค่าเฉลี่ยรายด้าน'!D14</f>
        <v/>
      </c>
      <c r="C6" s="3" t="inlineStr">
        <is>
          <t>S.D. ='ค่าเฉลี่ยรายด้าน'!E14</t>
        </is>
      </c>
    </row>
    <row r="7">
      <c r="A7" s="3" t="inlineStr">
        <is>
          <t>X̄ ด้านหน้าที่ของระบบ</t>
        </is>
      </c>
      <c r="B7" s="3">
        <f>'ค่าเฉลี่ยรายด้าน'!D20</f>
        <v/>
      </c>
      <c r="C7" s="3" t="inlineStr">
        <is>
          <t>S.D. ='ค่าเฉลี่ยรายด้าน'!E20</t>
        </is>
      </c>
    </row>
    <row r="8">
      <c r="A8" s="3" t="inlineStr">
        <is>
          <t>X̄ ด้านคุณภาพ</t>
        </is>
      </c>
      <c r="B8" s="3">
        <f>'ค่าเฉลี่ยรายด้าน'!D24</f>
        <v/>
      </c>
      <c r="C8" s="3" t="inlineStr">
        <is>
          <t>S.D. ='ค่าเฉลี่ยรายด้าน'!E24</t>
        </is>
      </c>
    </row>
    <row r="9">
      <c r="A9" s="3" t="inlineStr">
        <is>
          <t>X̄ ภาพรวม</t>
        </is>
      </c>
      <c r="B9" s="3">
        <f>'ค่าเฉลี่ยรายด้าน'!D25</f>
        <v/>
      </c>
      <c r="C9" s="3" t="inlineStr">
        <is>
          <t>S.D. ='ค่าเฉลี่ยรายด้าน'!E25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0" customWidth="1" min="4" max="4"/>
  </cols>
  <sheetData>
    <row r="1">
      <c r="A1" s="2" t="inlineStr">
        <is>
          <t>ผู้ตอบ</t>
        </is>
      </c>
      <c r="B1" s="2" t="inlineStr">
        <is>
          <t>คำถาม</t>
        </is>
      </c>
      <c r="C1" s="2" t="inlineStr">
        <is>
          <t>ตัวเลือก</t>
        </is>
      </c>
      <c r="D1" s="2" t="inlineStr">
        <is>
          <t>เลือก (1/0)</t>
        </is>
      </c>
    </row>
    <row r="2">
      <c r="A2" s="4" t="inlineStr">
        <is>
          <t>U01</t>
        </is>
      </c>
      <c r="B2" s="4" t="inlineStr">
        <is>
          <t>1. บทบาท</t>
        </is>
      </c>
      <c r="C2" s="4" t="inlineStr">
        <is>
          <t>ผู้ดูแลเครือข่าย</t>
        </is>
      </c>
      <c r="D2" s="4" t="n">
        <v>1</v>
      </c>
    </row>
    <row r="3">
      <c r="A3" s="4" t="inlineStr">
        <is>
          <t>U01</t>
        </is>
      </c>
      <c r="B3" s="4" t="inlineStr">
        <is>
          <t>1. บทบาท</t>
        </is>
      </c>
      <c r="C3" s="4" t="inlineStr">
        <is>
          <t>ผู้บริหาร</t>
        </is>
      </c>
      <c r="D3" s="4" t="n">
        <v>0</v>
      </c>
    </row>
    <row r="4">
      <c r="A4" s="4" t="inlineStr">
        <is>
          <t>U01</t>
        </is>
      </c>
      <c r="B4" s="4" t="inlineStr">
        <is>
          <t>1. บทบาท</t>
        </is>
      </c>
      <c r="C4" s="4" t="inlineStr">
        <is>
          <t>เจ้าหน้าที่สนับสนุน</t>
        </is>
      </c>
      <c r="D4" s="4" t="n">
        <v>0</v>
      </c>
    </row>
    <row r="5">
      <c r="A5" s="4" t="inlineStr">
        <is>
          <t>U01</t>
        </is>
      </c>
      <c r="B5" s="4" t="inlineStr">
        <is>
          <t>ฟังก์ชันที่ควรพัฒนาก่อน (เลือกได้หลายข้อ)</t>
        </is>
      </c>
      <c r="C5" s="4" t="inlineStr">
        <is>
          <t>หน้าภาพรวมสถานะ</t>
        </is>
      </c>
      <c r="D5" s="4" t="n">
        <v>1</v>
      </c>
    </row>
    <row r="6">
      <c r="A6" s="4" t="inlineStr">
        <is>
          <t>U01</t>
        </is>
      </c>
      <c r="B6" s="4" t="inlineStr">
        <is>
          <t>ฟังก์ชันที่ควรพัฒนาก่อน (เลือกได้หลายข้อ)</t>
        </is>
      </c>
      <c r="C6" s="4" t="inlineStr">
        <is>
          <t>การแจ้งเตือน</t>
        </is>
      </c>
      <c r="D6" s="4" t="n">
        <v>1</v>
      </c>
    </row>
    <row r="7">
      <c r="A7" s="4" t="inlineStr">
        <is>
          <t>U01</t>
        </is>
      </c>
      <c r="B7" s="4" t="inlineStr">
        <is>
          <t>ฟังก์ชันที่ควรพัฒนาก่อน (เลือกได้หลายข้อ)</t>
        </is>
      </c>
      <c r="C7" s="4" t="inlineStr">
        <is>
          <t>รายงานประจำเดือน</t>
        </is>
      </c>
      <c r="D7" s="4" t="n">
        <v>0</v>
      </c>
    </row>
    <row r="8">
      <c r="A8" s="4" t="inlineStr">
        <is>
          <t>U02</t>
        </is>
      </c>
      <c r="B8" s="4" t="inlineStr">
        <is>
          <t>1. บทบาท</t>
        </is>
      </c>
      <c r="C8" s="4" t="inlineStr">
        <is>
          <t>ผู้ดูแลเครือข่าย</t>
        </is>
      </c>
      <c r="D8" s="4" t="n">
        <v>0</v>
      </c>
    </row>
    <row r="9">
      <c r="A9" s="4" t="inlineStr">
        <is>
          <t>U02</t>
        </is>
      </c>
      <c r="B9" s="4" t="inlineStr">
        <is>
          <t>1. บทบาท</t>
        </is>
      </c>
      <c r="C9" s="4" t="inlineStr">
        <is>
          <t>ผู้บริหาร</t>
        </is>
      </c>
      <c r="D9" s="4" t="n">
        <v>0</v>
      </c>
    </row>
    <row r="10">
      <c r="A10" s="4" t="inlineStr">
        <is>
          <t>U02</t>
        </is>
      </c>
      <c r="B10" s="4" t="inlineStr">
        <is>
          <t>1. บทบาท</t>
        </is>
      </c>
      <c r="C10" s="4" t="inlineStr">
        <is>
          <t>เจ้าหน้าที่สนับสนุน</t>
        </is>
      </c>
      <c r="D10" s="4" t="n">
        <v>1</v>
      </c>
    </row>
    <row r="11">
      <c r="A11" s="4" t="inlineStr">
        <is>
          <t>U02</t>
        </is>
      </c>
      <c r="B11" s="4" t="inlineStr">
        <is>
          <t>ฟังก์ชันที่ควรพัฒนาก่อน (เลือกได้หลายข้อ)</t>
        </is>
      </c>
      <c r="C11" s="4" t="inlineStr">
        <is>
          <t>หน้าภาพรวมสถานะ</t>
        </is>
      </c>
      <c r="D11" s="4" t="n">
        <v>1</v>
      </c>
    </row>
    <row r="12">
      <c r="A12" s="4" t="inlineStr">
        <is>
          <t>U02</t>
        </is>
      </c>
      <c r="B12" s="4" t="inlineStr">
        <is>
          <t>ฟังก์ชันที่ควรพัฒนาก่อน (เลือกได้หลายข้อ)</t>
        </is>
      </c>
      <c r="C12" s="4" t="inlineStr">
        <is>
          <t>การแจ้งเตือน</t>
        </is>
      </c>
      <c r="D12" s="4" t="n">
        <v>0</v>
      </c>
    </row>
    <row r="13">
      <c r="A13" s="4" t="inlineStr">
        <is>
          <t>U02</t>
        </is>
      </c>
      <c r="B13" s="4" t="inlineStr">
        <is>
          <t>ฟังก์ชันที่ควรพัฒนาก่อน (เลือกได้หลายข้อ)</t>
        </is>
      </c>
      <c r="C13" s="4" t="inlineStr">
        <is>
          <t>รายงานประจำเดือน</t>
        </is>
      </c>
      <c r="D13" s="4" t="n">
        <v>1</v>
      </c>
    </row>
    <row r="14">
      <c r="A14" s="4" t="inlineStr">
        <is>
          <t>U03</t>
        </is>
      </c>
      <c r="B14" s="4" t="inlineStr">
        <is>
          <t>1. บทบาท</t>
        </is>
      </c>
      <c r="C14" s="4" t="inlineStr">
        <is>
          <t>ผู้ดูแลเครือข่าย</t>
        </is>
      </c>
      <c r="D14" s="4" t="n">
        <v>0</v>
      </c>
    </row>
    <row r="15">
      <c r="A15" s="4" t="inlineStr">
        <is>
          <t>U03</t>
        </is>
      </c>
      <c r="B15" s="4" t="inlineStr">
        <is>
          <t>1. บทบาท</t>
        </is>
      </c>
      <c r="C15" s="4" t="inlineStr">
        <is>
          <t>ผู้บริหาร</t>
        </is>
      </c>
      <c r="D15" s="4" t="n">
        <v>1</v>
      </c>
    </row>
    <row r="16">
      <c r="A16" s="4" t="inlineStr">
        <is>
          <t>U03</t>
        </is>
      </c>
      <c r="B16" s="4" t="inlineStr">
        <is>
          <t>1. บทบาท</t>
        </is>
      </c>
      <c r="C16" s="4" t="inlineStr">
        <is>
          <t>เจ้าหน้าที่สนับสนุน</t>
        </is>
      </c>
      <c r="D16" s="4" t="n">
        <v>0</v>
      </c>
    </row>
    <row r="17">
      <c r="A17" s="4" t="inlineStr">
        <is>
          <t>U03</t>
        </is>
      </c>
      <c r="B17" s="4" t="inlineStr">
        <is>
          <t>ฟังก์ชันที่ควรพัฒนาก่อน (เลือกได้หลายข้อ)</t>
        </is>
      </c>
      <c r="C17" s="4" t="inlineStr">
        <is>
          <t>หน้าภาพรวมสถานะ</t>
        </is>
      </c>
      <c r="D17" s="4" t="n">
        <v>1</v>
      </c>
    </row>
    <row r="18">
      <c r="A18" s="4" t="inlineStr">
        <is>
          <t>U03</t>
        </is>
      </c>
      <c r="B18" s="4" t="inlineStr">
        <is>
          <t>ฟังก์ชันที่ควรพัฒนาก่อน (เลือกได้หลายข้อ)</t>
        </is>
      </c>
      <c r="C18" s="4" t="inlineStr">
        <is>
          <t>การแจ้งเตือน</t>
        </is>
      </c>
      <c r="D18" s="4" t="n">
        <v>1</v>
      </c>
    </row>
    <row r="19">
      <c r="A19" s="4" t="inlineStr">
        <is>
          <t>U03</t>
        </is>
      </c>
      <c r="B19" s="4" t="inlineStr">
        <is>
          <t>ฟังก์ชันที่ควรพัฒนาก่อน (เลือกได้หลายข้อ)</t>
        </is>
      </c>
      <c r="C19" s="4" t="inlineStr">
        <is>
          <t>รายงานประจำเดือน</t>
        </is>
      </c>
      <c r="D19" s="4" t="n">
        <v>1</v>
      </c>
    </row>
    <row r="20">
      <c r="A20" s="4" t="inlineStr">
        <is>
          <t>U04</t>
        </is>
      </c>
      <c r="B20" s="4" t="inlineStr">
        <is>
          <t>1. บทบาท</t>
        </is>
      </c>
      <c r="C20" s="4" t="inlineStr">
        <is>
          <t>ผู้ดูแลเครือข่าย</t>
        </is>
      </c>
      <c r="D20" s="4" t="n">
        <v>0</v>
      </c>
    </row>
    <row r="21">
      <c r="A21" s="4" t="inlineStr">
        <is>
          <t>U04</t>
        </is>
      </c>
      <c r="B21" s="4" t="inlineStr">
        <is>
          <t>1. บทบาท</t>
        </is>
      </c>
      <c r="C21" s="4" t="inlineStr">
        <is>
          <t>ผู้บริหาร</t>
        </is>
      </c>
      <c r="D21" s="4" t="n">
        <v>1</v>
      </c>
    </row>
    <row r="22">
      <c r="A22" s="4" t="inlineStr">
        <is>
          <t>U04</t>
        </is>
      </c>
      <c r="B22" s="4" t="inlineStr">
        <is>
          <t>1. บทบาท</t>
        </is>
      </c>
      <c r="C22" s="4" t="inlineStr">
        <is>
          <t>เจ้าหน้าที่สนับสนุน</t>
        </is>
      </c>
      <c r="D22" s="4" t="n">
        <v>0</v>
      </c>
    </row>
    <row r="23">
      <c r="A23" s="4" t="inlineStr">
        <is>
          <t>U04</t>
        </is>
      </c>
      <c r="B23" s="4" t="inlineStr">
        <is>
          <t>ฟังก์ชันที่ควรพัฒนาก่อน (เลือกได้หลายข้อ)</t>
        </is>
      </c>
      <c r="C23" s="4" t="inlineStr">
        <is>
          <t>หน้าภาพรวมสถานะ</t>
        </is>
      </c>
      <c r="D23" s="4" t="n">
        <v>1</v>
      </c>
    </row>
    <row r="24">
      <c r="A24" s="4" t="inlineStr">
        <is>
          <t>U04</t>
        </is>
      </c>
      <c r="B24" s="4" t="inlineStr">
        <is>
          <t>ฟังก์ชันที่ควรพัฒนาก่อน (เลือกได้หลายข้อ)</t>
        </is>
      </c>
      <c r="C24" s="4" t="inlineStr">
        <is>
          <t>การแจ้งเตือน</t>
        </is>
      </c>
      <c r="D24" s="4" t="n">
        <v>0</v>
      </c>
    </row>
    <row r="25">
      <c r="A25" s="4" t="inlineStr">
        <is>
          <t>U04</t>
        </is>
      </c>
      <c r="B25" s="4" t="inlineStr">
        <is>
          <t>ฟังก์ชันที่ควรพัฒนาก่อน (เลือกได้หลายข้อ)</t>
        </is>
      </c>
      <c r="C25" s="4" t="inlineStr">
        <is>
          <t>รายงานประจำเดือน</t>
        </is>
      </c>
      <c r="D25" s="4" t="n">
        <v>1</v>
      </c>
    </row>
    <row r="26">
      <c r="A26" s="4" t="inlineStr">
        <is>
          <t>U05</t>
        </is>
      </c>
      <c r="B26" s="4" t="inlineStr">
        <is>
          <t>1. บทบาท</t>
        </is>
      </c>
      <c r="C26" s="4" t="inlineStr">
        <is>
          <t>ผู้ดูแลเครือข่าย</t>
        </is>
      </c>
      <c r="D26" s="4" t="n">
        <v>0</v>
      </c>
    </row>
    <row r="27">
      <c r="A27" s="4" t="inlineStr">
        <is>
          <t>U05</t>
        </is>
      </c>
      <c r="B27" s="4" t="inlineStr">
        <is>
          <t>1. บทบาท</t>
        </is>
      </c>
      <c r="C27" s="4" t="inlineStr">
        <is>
          <t>ผู้บริหาร</t>
        </is>
      </c>
      <c r="D27" s="4" t="n">
        <v>0</v>
      </c>
    </row>
    <row r="28">
      <c r="A28" s="4" t="inlineStr">
        <is>
          <t>U05</t>
        </is>
      </c>
      <c r="B28" s="4" t="inlineStr">
        <is>
          <t>1. บทบาท</t>
        </is>
      </c>
      <c r="C28" s="4" t="inlineStr">
        <is>
          <t>เจ้าหน้าที่สนับสนุน</t>
        </is>
      </c>
      <c r="D28" s="4" t="n">
        <v>1</v>
      </c>
    </row>
    <row r="29">
      <c r="A29" s="4" t="inlineStr">
        <is>
          <t>U05</t>
        </is>
      </c>
      <c r="B29" s="4" t="inlineStr">
        <is>
          <t>ฟังก์ชันที่ควรพัฒนาก่อน (เลือกได้หลายข้อ)</t>
        </is>
      </c>
      <c r="C29" s="4" t="inlineStr">
        <is>
          <t>หน้าภาพรวมสถานะ</t>
        </is>
      </c>
      <c r="D29" s="4" t="n">
        <v>0</v>
      </c>
    </row>
    <row r="30">
      <c r="A30" s="4" t="inlineStr">
        <is>
          <t>U05</t>
        </is>
      </c>
      <c r="B30" s="4" t="inlineStr">
        <is>
          <t>ฟังก์ชันที่ควรพัฒนาก่อน (เลือกได้หลายข้อ)</t>
        </is>
      </c>
      <c r="C30" s="4" t="inlineStr">
        <is>
          <t>การแจ้งเตือน</t>
        </is>
      </c>
      <c r="D30" s="4" t="n">
        <v>1</v>
      </c>
    </row>
    <row r="31">
      <c r="A31" s="4" t="inlineStr">
        <is>
          <t>U05</t>
        </is>
      </c>
      <c r="B31" s="4" t="inlineStr">
        <is>
          <t>ฟังก์ชันที่ควรพัฒนาก่อน (เลือกได้หลายข้อ)</t>
        </is>
      </c>
      <c r="C31" s="4" t="inlineStr">
        <is>
          <t>รายงานประจำเดือน</t>
        </is>
      </c>
      <c r="D31" s="4" t="n">
        <v>1</v>
      </c>
    </row>
    <row r="32">
      <c r="A32" s="4" t="inlineStr">
        <is>
          <t>U06</t>
        </is>
      </c>
      <c r="B32" s="4" t="inlineStr">
        <is>
          <t>1. บทบาท</t>
        </is>
      </c>
      <c r="C32" s="4" t="inlineStr">
        <is>
          <t>ผู้ดูแลเครือข่าย</t>
        </is>
      </c>
      <c r="D32" s="4" t="n">
        <v>1</v>
      </c>
    </row>
    <row r="33">
      <c r="A33" s="4" t="inlineStr">
        <is>
          <t>U06</t>
        </is>
      </c>
      <c r="B33" s="4" t="inlineStr">
        <is>
          <t>1. บทบาท</t>
        </is>
      </c>
      <c r="C33" s="4" t="inlineStr">
        <is>
          <t>ผู้บริหาร</t>
        </is>
      </c>
      <c r="D33" s="4" t="n">
        <v>0</v>
      </c>
    </row>
    <row r="34">
      <c r="A34" s="4" t="inlineStr">
        <is>
          <t>U06</t>
        </is>
      </c>
      <c r="B34" s="4" t="inlineStr">
        <is>
          <t>1. บทบาท</t>
        </is>
      </c>
      <c r="C34" s="4" t="inlineStr">
        <is>
          <t>เจ้าหน้าที่สนับสนุน</t>
        </is>
      </c>
      <c r="D34" s="4" t="n">
        <v>0</v>
      </c>
    </row>
    <row r="35">
      <c r="A35" s="4" t="inlineStr">
        <is>
          <t>U06</t>
        </is>
      </c>
      <c r="B35" s="4" t="inlineStr">
        <is>
          <t>ฟังก์ชันที่ควรพัฒนาก่อน (เลือกได้หลายข้อ)</t>
        </is>
      </c>
      <c r="C35" s="4" t="inlineStr">
        <is>
          <t>หน้าภาพรวมสถานะ</t>
        </is>
      </c>
      <c r="D35" s="4" t="n">
        <v>1</v>
      </c>
    </row>
    <row r="36">
      <c r="A36" s="4" t="inlineStr">
        <is>
          <t>U06</t>
        </is>
      </c>
      <c r="B36" s="4" t="inlineStr">
        <is>
          <t>ฟังก์ชันที่ควรพัฒนาก่อน (เลือกได้หลายข้อ)</t>
        </is>
      </c>
      <c r="C36" s="4" t="inlineStr">
        <is>
          <t>การแจ้งเตือน</t>
        </is>
      </c>
      <c r="D36" s="4" t="n">
        <v>1</v>
      </c>
    </row>
    <row r="37">
      <c r="A37" s="4" t="inlineStr">
        <is>
          <t>U06</t>
        </is>
      </c>
      <c r="B37" s="4" t="inlineStr">
        <is>
          <t>ฟังก์ชันที่ควรพัฒนาก่อน (เลือกได้หลายข้อ)</t>
        </is>
      </c>
      <c r="C37" s="4" t="inlineStr">
        <is>
          <t>รายงานประจำเดือน</t>
        </is>
      </c>
      <c r="D37" s="4" t="n">
        <v>0</v>
      </c>
    </row>
    <row r="38">
      <c r="A38" s="4" t="inlineStr">
        <is>
          <t>U07</t>
        </is>
      </c>
      <c r="B38" s="4" t="inlineStr">
        <is>
          <t>1. บทบาท</t>
        </is>
      </c>
      <c r="C38" s="4" t="inlineStr">
        <is>
          <t>ผู้ดูแลเครือข่าย</t>
        </is>
      </c>
      <c r="D38" s="4" t="n">
        <v>0</v>
      </c>
    </row>
    <row r="39">
      <c r="A39" s="4" t="inlineStr">
        <is>
          <t>U07</t>
        </is>
      </c>
      <c r="B39" s="4" t="inlineStr">
        <is>
          <t>1. บทบาท</t>
        </is>
      </c>
      <c r="C39" s="4" t="inlineStr">
        <is>
          <t>ผู้บริหาร</t>
        </is>
      </c>
      <c r="D39" s="4" t="n">
        <v>1</v>
      </c>
    </row>
    <row r="40">
      <c r="A40" s="4" t="inlineStr">
        <is>
          <t>U07</t>
        </is>
      </c>
      <c r="B40" s="4" t="inlineStr">
        <is>
          <t>1. บทบาท</t>
        </is>
      </c>
      <c r="C40" s="4" t="inlineStr">
        <is>
          <t>เจ้าหน้าที่สนับสนุน</t>
        </is>
      </c>
      <c r="D40" s="4" t="n">
        <v>0</v>
      </c>
    </row>
    <row r="41">
      <c r="A41" s="4" t="inlineStr">
        <is>
          <t>U07</t>
        </is>
      </c>
      <c r="B41" s="4" t="inlineStr">
        <is>
          <t>ฟังก์ชันที่ควรพัฒนาก่อน (เลือกได้หลายข้อ)</t>
        </is>
      </c>
      <c r="C41" s="4" t="inlineStr">
        <is>
          <t>หน้าภาพรวมสถานะ</t>
        </is>
      </c>
      <c r="D41" s="4" t="n">
        <v>1</v>
      </c>
    </row>
    <row r="42">
      <c r="A42" s="4" t="inlineStr">
        <is>
          <t>U07</t>
        </is>
      </c>
      <c r="B42" s="4" t="inlineStr">
        <is>
          <t>ฟังก์ชันที่ควรพัฒนาก่อน (เลือกได้หลายข้อ)</t>
        </is>
      </c>
      <c r="C42" s="4" t="inlineStr">
        <is>
          <t>การแจ้งเตือน</t>
        </is>
      </c>
      <c r="D42" s="4" t="n">
        <v>1</v>
      </c>
    </row>
    <row r="43">
      <c r="A43" s="4" t="inlineStr">
        <is>
          <t>U07</t>
        </is>
      </c>
      <c r="B43" s="4" t="inlineStr">
        <is>
          <t>ฟังก์ชันที่ควรพัฒนาก่อน (เลือกได้หลายข้อ)</t>
        </is>
      </c>
      <c r="C43" s="4" t="inlineStr">
        <is>
          <t>รายงานประจำเดือน</t>
        </is>
      </c>
      <c r="D43" s="4" t="n">
        <v>1</v>
      </c>
    </row>
    <row r="44">
      <c r="A44" s="4" t="inlineStr">
        <is>
          <t>U08</t>
        </is>
      </c>
      <c r="B44" s="4" t="inlineStr">
        <is>
          <t>1. บทบาท</t>
        </is>
      </c>
      <c r="C44" s="4" t="inlineStr">
        <is>
          <t>ผู้ดูแลเครือข่าย</t>
        </is>
      </c>
      <c r="D44" s="4" t="n">
        <v>1</v>
      </c>
    </row>
    <row r="45">
      <c r="A45" s="4" t="inlineStr">
        <is>
          <t>U08</t>
        </is>
      </c>
      <c r="B45" s="4" t="inlineStr">
        <is>
          <t>1. บทบาท</t>
        </is>
      </c>
      <c r="C45" s="4" t="inlineStr">
        <is>
          <t>ผู้บริหาร</t>
        </is>
      </c>
      <c r="D45" s="4" t="n">
        <v>0</v>
      </c>
    </row>
    <row r="46">
      <c r="A46" s="4" t="inlineStr">
        <is>
          <t>U08</t>
        </is>
      </c>
      <c r="B46" s="4" t="inlineStr">
        <is>
          <t>1. บทบาท</t>
        </is>
      </c>
      <c r="C46" s="4" t="inlineStr">
        <is>
          <t>เจ้าหน้าที่สนับสนุน</t>
        </is>
      </c>
      <c r="D46" s="4" t="n">
        <v>0</v>
      </c>
    </row>
    <row r="47">
      <c r="A47" s="4" t="inlineStr">
        <is>
          <t>U08</t>
        </is>
      </c>
      <c r="B47" s="4" t="inlineStr">
        <is>
          <t>ฟังก์ชันที่ควรพัฒนาก่อน (เลือกได้หลายข้อ)</t>
        </is>
      </c>
      <c r="C47" s="4" t="inlineStr">
        <is>
          <t>หน้าภาพรวมสถานะ</t>
        </is>
      </c>
      <c r="D47" s="4" t="n">
        <v>1</v>
      </c>
    </row>
    <row r="48">
      <c r="A48" s="4" t="inlineStr">
        <is>
          <t>U08</t>
        </is>
      </c>
      <c r="B48" s="4" t="inlineStr">
        <is>
          <t>ฟังก์ชันที่ควรพัฒนาก่อน (เลือกได้หลายข้อ)</t>
        </is>
      </c>
      <c r="C48" s="4" t="inlineStr">
        <is>
          <t>การแจ้งเตือน</t>
        </is>
      </c>
      <c r="D48" s="4" t="n">
        <v>1</v>
      </c>
    </row>
    <row r="49">
      <c r="A49" s="4" t="inlineStr">
        <is>
          <t>U08</t>
        </is>
      </c>
      <c r="B49" s="4" t="inlineStr">
        <is>
          <t>ฟังก์ชันที่ควรพัฒนาก่อน (เลือกได้หลายข้อ)</t>
        </is>
      </c>
      <c r="C49" s="4" t="inlineStr">
        <is>
          <t>รายงานประจำเดือน</t>
        </is>
      </c>
      <c r="D49" s="4" t="n">
        <v>1</v>
      </c>
    </row>
    <row r="50">
      <c r="A50" s="4" t="inlineStr">
        <is>
          <t>U09</t>
        </is>
      </c>
      <c r="B50" s="4" t="inlineStr">
        <is>
          <t>1. บทบาท</t>
        </is>
      </c>
      <c r="C50" s="4" t="inlineStr">
        <is>
          <t>ผู้ดูแลเครือข่าย</t>
        </is>
      </c>
      <c r="D50" s="4" t="n">
        <v>0</v>
      </c>
    </row>
    <row r="51">
      <c r="A51" s="4" t="inlineStr">
        <is>
          <t>U09</t>
        </is>
      </c>
      <c r="B51" s="4" t="inlineStr">
        <is>
          <t>1. บทบาท</t>
        </is>
      </c>
      <c r="C51" s="4" t="inlineStr">
        <is>
          <t>ผู้บริหาร</t>
        </is>
      </c>
      <c r="D51" s="4" t="n">
        <v>0</v>
      </c>
    </row>
    <row r="52">
      <c r="A52" s="4" t="inlineStr">
        <is>
          <t>U09</t>
        </is>
      </c>
      <c r="B52" s="4" t="inlineStr">
        <is>
          <t>1. บทบาท</t>
        </is>
      </c>
      <c r="C52" s="4" t="inlineStr">
        <is>
          <t>เจ้าหน้าที่สนับสนุน</t>
        </is>
      </c>
      <c r="D52" s="4" t="n">
        <v>1</v>
      </c>
    </row>
    <row r="53">
      <c r="A53" s="4" t="inlineStr">
        <is>
          <t>U09</t>
        </is>
      </c>
      <c r="B53" s="4" t="inlineStr">
        <is>
          <t>ฟังก์ชันที่ควรพัฒนาก่อน (เลือกได้หลายข้อ)</t>
        </is>
      </c>
      <c r="C53" s="4" t="inlineStr">
        <is>
          <t>หน้าภาพรวมสถานะ</t>
        </is>
      </c>
      <c r="D53" s="4" t="n">
        <v>1</v>
      </c>
    </row>
    <row r="54">
      <c r="A54" s="4" t="inlineStr">
        <is>
          <t>U09</t>
        </is>
      </c>
      <c r="B54" s="4" t="inlineStr">
        <is>
          <t>ฟังก์ชันที่ควรพัฒนาก่อน (เลือกได้หลายข้อ)</t>
        </is>
      </c>
      <c r="C54" s="4" t="inlineStr">
        <is>
          <t>การแจ้งเตือน</t>
        </is>
      </c>
      <c r="D54" s="4" t="n">
        <v>1</v>
      </c>
    </row>
    <row r="55">
      <c r="A55" s="4" t="inlineStr">
        <is>
          <t>U09</t>
        </is>
      </c>
      <c r="B55" s="4" t="inlineStr">
        <is>
          <t>ฟังก์ชันที่ควรพัฒนาก่อน (เลือกได้หลายข้อ)</t>
        </is>
      </c>
      <c r="C55" s="4" t="inlineStr">
        <is>
          <t>รายงานประจำเดือน</t>
        </is>
      </c>
      <c r="D55" s="4" t="n">
        <v>1</v>
      </c>
    </row>
    <row r="56">
      <c r="A56" s="4" t="inlineStr">
        <is>
          <t>U10</t>
        </is>
      </c>
      <c r="B56" s="4" t="inlineStr">
        <is>
          <t>1. บทบาท</t>
        </is>
      </c>
      <c r="C56" s="4" t="inlineStr">
        <is>
          <t>ผู้ดูแลเครือข่าย</t>
        </is>
      </c>
      <c r="D56" s="4" t="n">
        <v>0</v>
      </c>
    </row>
    <row r="57">
      <c r="A57" s="4" t="inlineStr">
        <is>
          <t>U10</t>
        </is>
      </c>
      <c r="B57" s="4" t="inlineStr">
        <is>
          <t>1. บทบาท</t>
        </is>
      </c>
      <c r="C57" s="4" t="inlineStr">
        <is>
          <t>ผู้บริหาร</t>
        </is>
      </c>
      <c r="D57" s="4" t="n">
        <v>0</v>
      </c>
    </row>
    <row r="58">
      <c r="A58" s="4" t="inlineStr">
        <is>
          <t>U10</t>
        </is>
      </c>
      <c r="B58" s="4" t="inlineStr">
        <is>
          <t>1. บทบาท</t>
        </is>
      </c>
      <c r="C58" s="4" t="inlineStr">
        <is>
          <t>เจ้าหน้าที่สนับสนุน</t>
        </is>
      </c>
      <c r="D58" s="4" t="n">
        <v>1</v>
      </c>
    </row>
    <row r="59">
      <c r="A59" s="4" t="inlineStr">
        <is>
          <t>U10</t>
        </is>
      </c>
      <c r="B59" s="4" t="inlineStr">
        <is>
          <t>ฟังก์ชันที่ควรพัฒนาก่อน (เลือกได้หลายข้อ)</t>
        </is>
      </c>
      <c r="C59" s="4" t="inlineStr">
        <is>
          <t>หน้าภาพรวมสถานะ</t>
        </is>
      </c>
      <c r="D59" s="4" t="n">
        <v>1</v>
      </c>
    </row>
    <row r="60">
      <c r="A60" s="4" t="inlineStr">
        <is>
          <t>U10</t>
        </is>
      </c>
      <c r="B60" s="4" t="inlineStr">
        <is>
          <t>ฟังก์ชันที่ควรพัฒนาก่อน (เลือกได้หลายข้อ)</t>
        </is>
      </c>
      <c r="C60" s="4" t="inlineStr">
        <is>
          <t>การแจ้งเตือน</t>
        </is>
      </c>
      <c r="D60" s="4" t="n">
        <v>0</v>
      </c>
    </row>
    <row r="61">
      <c r="A61" s="4" t="inlineStr">
        <is>
          <t>U10</t>
        </is>
      </c>
      <c r="B61" s="4" t="inlineStr">
        <is>
          <t>ฟังก์ชันที่ควรพัฒนาก่อน (เลือกได้หลายข้อ)</t>
        </is>
      </c>
      <c r="C61" s="4" t="inlineStr">
        <is>
          <t>รายงานประจำเดือน</t>
        </is>
      </c>
      <c r="D61" s="4" t="n">
        <v>0</v>
      </c>
    </row>
    <row r="62">
      <c r="A62" s="4" t="inlineStr">
        <is>
          <t>U11</t>
        </is>
      </c>
      <c r="B62" s="4" t="inlineStr">
        <is>
          <t>1. บทบาท</t>
        </is>
      </c>
      <c r="C62" s="4" t="inlineStr">
        <is>
          <t>ผู้ดูแลเครือข่าย</t>
        </is>
      </c>
      <c r="D62" s="4" t="n">
        <v>0</v>
      </c>
    </row>
    <row r="63">
      <c r="A63" s="4" t="inlineStr">
        <is>
          <t>U11</t>
        </is>
      </c>
      <c r="B63" s="4" t="inlineStr">
        <is>
          <t>1. บทบาท</t>
        </is>
      </c>
      <c r="C63" s="4" t="inlineStr">
        <is>
          <t>ผู้บริหาร</t>
        </is>
      </c>
      <c r="D63" s="4" t="n">
        <v>1</v>
      </c>
    </row>
    <row r="64">
      <c r="A64" s="4" t="inlineStr">
        <is>
          <t>U11</t>
        </is>
      </c>
      <c r="B64" s="4" t="inlineStr">
        <is>
          <t>1. บทบาท</t>
        </is>
      </c>
      <c r="C64" s="4" t="inlineStr">
        <is>
          <t>เจ้าหน้าที่สนับสนุน</t>
        </is>
      </c>
      <c r="D64" s="4" t="n">
        <v>0</v>
      </c>
    </row>
    <row r="65">
      <c r="A65" s="4" t="inlineStr">
        <is>
          <t>U11</t>
        </is>
      </c>
      <c r="B65" s="4" t="inlineStr">
        <is>
          <t>ฟังก์ชันที่ควรพัฒนาก่อน (เลือกได้หลายข้อ)</t>
        </is>
      </c>
      <c r="C65" s="4" t="inlineStr">
        <is>
          <t>หน้าภาพรวมสถานะ</t>
        </is>
      </c>
      <c r="D65" s="4" t="n">
        <v>0</v>
      </c>
    </row>
    <row r="66">
      <c r="A66" s="4" t="inlineStr">
        <is>
          <t>U11</t>
        </is>
      </c>
      <c r="B66" s="4" t="inlineStr">
        <is>
          <t>ฟังก์ชันที่ควรพัฒนาก่อน (เลือกได้หลายข้อ)</t>
        </is>
      </c>
      <c r="C66" s="4" t="inlineStr">
        <is>
          <t>การแจ้งเตือน</t>
        </is>
      </c>
      <c r="D66" s="4" t="n">
        <v>1</v>
      </c>
    </row>
    <row r="67">
      <c r="A67" s="4" t="inlineStr">
        <is>
          <t>U11</t>
        </is>
      </c>
      <c r="B67" s="4" t="inlineStr">
        <is>
          <t>ฟังก์ชันที่ควรพัฒนาก่อน (เลือกได้หลายข้อ)</t>
        </is>
      </c>
      <c r="C67" s="4" t="inlineStr">
        <is>
          <t>รายงานประจำเดือน</t>
        </is>
      </c>
      <c r="D67" s="4" t="n">
        <v>1</v>
      </c>
    </row>
    <row r="68">
      <c r="A68" s="4" t="inlineStr">
        <is>
          <t>U12</t>
        </is>
      </c>
      <c r="B68" s="4" t="inlineStr">
        <is>
          <t>1. บทบาท</t>
        </is>
      </c>
      <c r="C68" s="4" t="inlineStr">
        <is>
          <t>ผู้ดูแลเครือข่าย</t>
        </is>
      </c>
      <c r="D68" s="4" t="n">
        <v>1</v>
      </c>
    </row>
    <row r="69">
      <c r="A69" s="4" t="inlineStr">
        <is>
          <t>U12</t>
        </is>
      </c>
      <c r="B69" s="4" t="inlineStr">
        <is>
          <t>1. บทบาท</t>
        </is>
      </c>
      <c r="C69" s="4" t="inlineStr">
        <is>
          <t>ผู้บริหาร</t>
        </is>
      </c>
      <c r="D69" s="4" t="n">
        <v>0</v>
      </c>
    </row>
    <row r="70">
      <c r="A70" s="4" t="inlineStr">
        <is>
          <t>U12</t>
        </is>
      </c>
      <c r="B70" s="4" t="inlineStr">
        <is>
          <t>1. บทบาท</t>
        </is>
      </c>
      <c r="C70" s="4" t="inlineStr">
        <is>
          <t>เจ้าหน้าที่สนับสนุน</t>
        </is>
      </c>
      <c r="D70" s="4" t="n">
        <v>0</v>
      </c>
    </row>
    <row r="71">
      <c r="A71" s="4" t="inlineStr">
        <is>
          <t>U12</t>
        </is>
      </c>
      <c r="B71" s="4" t="inlineStr">
        <is>
          <t>ฟังก์ชันที่ควรพัฒนาก่อน (เลือกได้หลายข้อ)</t>
        </is>
      </c>
      <c r="C71" s="4" t="inlineStr">
        <is>
          <t>หน้าภาพรวมสถานะ</t>
        </is>
      </c>
      <c r="D71" s="4" t="n">
        <v>1</v>
      </c>
    </row>
    <row r="72">
      <c r="A72" s="4" t="inlineStr">
        <is>
          <t>U12</t>
        </is>
      </c>
      <c r="B72" s="4" t="inlineStr">
        <is>
          <t>ฟังก์ชันที่ควรพัฒนาก่อน (เลือกได้หลายข้อ)</t>
        </is>
      </c>
      <c r="C72" s="4" t="inlineStr">
        <is>
          <t>การแจ้งเตือน</t>
        </is>
      </c>
      <c r="D72" s="4" t="n">
        <v>1</v>
      </c>
    </row>
    <row r="73">
      <c r="A73" s="4" t="inlineStr">
        <is>
          <t>U12</t>
        </is>
      </c>
      <c r="B73" s="4" t="inlineStr">
        <is>
          <t>ฟังก์ชันที่ควรพัฒนาก่อน (เลือกได้หลายข้อ)</t>
        </is>
      </c>
      <c r="C73" s="4" t="inlineStr">
        <is>
          <t>รายงานประจำเดือน</t>
        </is>
      </c>
      <c r="D7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ข้อมูลดิบ</t>
        </is>
      </c>
    </row>
    <row r="2">
      <c r="B2" s="5" t="inlineStr">
        <is>
          <t>ข้อมูลสถานะอุปกรณ์กระจายอยู่หลายระบบ</t>
        </is>
      </c>
      <c r="C2" s="5" t="inlineStr">
        <is>
          <t>ทราบปัญหาอุปกรณ์ล่าช้า</t>
        </is>
      </c>
      <c r="D2" s="5" t="inlineStr">
        <is>
          <t>เปรียบเทียบสถานะระหว่างศูนย์ได้ยาก</t>
        </is>
      </c>
      <c r="E2" s="5" t="inlineStr">
        <is>
          <t>ไม่มีประวัติการแก้ไขข้อมูล</t>
        </is>
      </c>
      <c r="F2" s="5" t="inlineStr">
        <is>
          <t>จัดทำรายงานประจำเดือนใช้เวลามาก</t>
        </is>
      </c>
      <c r="G2" s="5" t="inlineStr">
        <is>
          <t>ภาพรวมสถานะอุปกรณ์แยกตามศูนย์</t>
        </is>
      </c>
      <c r="H2" s="5" t="inlineStr">
        <is>
          <t>รายการอุปกรณ์และตำแหน่งติดตั้ง</t>
        </is>
      </c>
      <c r="I2" s="5" t="inlineStr">
        <is>
          <t>ประวัติเหตุขัดข้องย้อนหลัง</t>
        </is>
      </c>
      <c r="J2" s="5" t="inlineStr">
        <is>
          <t>ข้อมูลการใช้งานแบนด์วิดท์</t>
        </is>
      </c>
      <c r="K2" s="5" t="inlineStr">
        <is>
          <t>แจ้งเตือนเมื่ออุปกรณ์ขัดข้อง</t>
        </is>
      </c>
      <c r="L2" s="5" t="inlineStr">
        <is>
          <t>จัดลำดับอุปกรณ์ที่ต้องดำเนินการก่อน</t>
        </is>
      </c>
      <c r="M2" s="5" t="inlineStr">
        <is>
          <t>ค้นหาอุปกรณ์ตามศูนย์และสถานะ</t>
        </is>
      </c>
      <c r="N2" s="5" t="inlineStr">
        <is>
          <t>สร้างรายงานสรุปประจำเดือน</t>
        </is>
      </c>
      <c r="O2" s="5" t="inlineStr">
        <is>
          <t>แจ้งข้อมูลผิดพลาดจากผู้ใช้</t>
        </is>
      </c>
      <c r="P2" s="5" t="inlineStr">
        <is>
          <t>ข้อมูลเป็นปัจจุบันไม่เกิน 5 นาที</t>
        </is>
      </c>
      <c r="Q2" s="5" t="inlineStr">
        <is>
          <t>กำหนดสิทธิ์การเข้าถึงตามบทบาท</t>
        </is>
      </c>
      <c r="R2" s="5" t="inlineStr">
        <is>
          <t>บันทึกประวัติการแก้ไขข้อมูล</t>
        </is>
      </c>
    </row>
    <row r="3">
      <c r="A3" s="2" t="inlineStr">
        <is>
          <t>ผู้ตอบ</t>
        </is>
      </c>
      <c r="B3" s="2" t="inlineStr">
        <is>
          <t>P01</t>
        </is>
      </c>
      <c r="C3" s="2" t="inlineStr">
        <is>
          <t>P02</t>
        </is>
      </c>
      <c r="D3" s="2" t="inlineStr">
        <is>
          <t>P03</t>
        </is>
      </c>
      <c r="E3" s="2" t="inlineStr">
        <is>
          <t>P04</t>
        </is>
      </c>
      <c r="F3" s="2" t="inlineStr">
        <is>
          <t>P05</t>
        </is>
      </c>
      <c r="G3" s="2" t="inlineStr">
        <is>
          <t>N01</t>
        </is>
      </c>
      <c r="H3" s="2" t="inlineStr">
        <is>
          <t>N02</t>
        </is>
      </c>
      <c r="I3" s="2" t="inlineStr">
        <is>
          <t>N03</t>
        </is>
      </c>
      <c r="J3" s="2" t="inlineStr">
        <is>
          <t>N04</t>
        </is>
      </c>
      <c r="K3" s="2" t="inlineStr">
        <is>
          <t>N05</t>
        </is>
      </c>
      <c r="L3" s="2" t="inlineStr">
        <is>
          <t>N06</t>
        </is>
      </c>
      <c r="M3" s="2" t="inlineStr">
        <is>
          <t>N07</t>
        </is>
      </c>
      <c r="N3" s="2" t="inlineStr">
        <is>
          <t>N08</t>
        </is>
      </c>
      <c r="O3" s="2" t="inlineStr">
        <is>
          <t>N09</t>
        </is>
      </c>
      <c r="P3" s="2" t="inlineStr">
        <is>
          <t>N10</t>
        </is>
      </c>
      <c r="Q3" s="2" t="inlineStr">
        <is>
          <t>N11</t>
        </is>
      </c>
      <c r="R3" s="2" t="inlineStr">
        <is>
          <t>N12</t>
        </is>
      </c>
    </row>
    <row r="4">
      <c r="A4" s="4" t="inlineStr">
        <is>
          <t>U01</t>
        </is>
      </c>
      <c r="B4" s="4" t="n">
        <v>4</v>
      </c>
      <c r="C4" s="4" t="n">
        <v>4</v>
      </c>
      <c r="D4" s="4" t="n">
        <v>5</v>
      </c>
      <c r="E4" s="4" t="n">
        <v>3</v>
      </c>
      <c r="F4" s="4" t="n">
        <v>3</v>
      </c>
      <c r="G4" s="4" t="n">
        <v>5</v>
      </c>
      <c r="H4" s="4" t="n">
        <v>3</v>
      </c>
      <c r="I4" s="4" t="n">
        <v>4</v>
      </c>
      <c r="J4" s="4" t="n">
        <v>5</v>
      </c>
      <c r="K4" s="4" t="n">
        <v>3</v>
      </c>
      <c r="L4" s="4" t="n">
        <v>5</v>
      </c>
      <c r="M4" s="4" t="n">
        <v>4</v>
      </c>
      <c r="N4" s="4" t="n">
        <v>3</v>
      </c>
      <c r="O4" s="4" t="n">
        <v>3</v>
      </c>
      <c r="P4" s="4" t="n">
        <v>5</v>
      </c>
      <c r="Q4" s="4" t="n">
        <v>5</v>
      </c>
      <c r="R4" s="4" t="n">
        <v>3</v>
      </c>
    </row>
    <row r="5">
      <c r="A5" s="4" t="inlineStr">
        <is>
          <t>U02</t>
        </is>
      </c>
      <c r="B5" s="4" t="n">
        <v>3</v>
      </c>
      <c r="C5" s="4" t="n">
        <v>4</v>
      </c>
      <c r="D5" s="4" t="n">
        <v>5</v>
      </c>
      <c r="E5" s="4" t="n">
        <v>3</v>
      </c>
      <c r="F5" s="4" t="n">
        <v>5</v>
      </c>
      <c r="G5" s="4" t="n">
        <v>5</v>
      </c>
      <c r="H5" s="4" t="n">
        <v>5</v>
      </c>
      <c r="I5" s="4" t="n">
        <v>3</v>
      </c>
      <c r="J5" s="4" t="n">
        <v>4</v>
      </c>
      <c r="K5" s="4" t="n">
        <v>3</v>
      </c>
      <c r="L5" s="4" t="n">
        <v>5</v>
      </c>
      <c r="M5" s="4" t="n">
        <v>4</v>
      </c>
      <c r="N5" s="4" t="n">
        <v>4</v>
      </c>
      <c r="O5" s="4" t="n">
        <v>5</v>
      </c>
      <c r="P5" s="4" t="n">
        <v>4</v>
      </c>
      <c r="Q5" s="4" t="n">
        <v>5</v>
      </c>
      <c r="R5" s="4" t="n">
        <v>3</v>
      </c>
    </row>
    <row r="6">
      <c r="A6" s="4" t="inlineStr">
        <is>
          <t>U03</t>
        </is>
      </c>
      <c r="B6" s="4" t="n">
        <v>5</v>
      </c>
      <c r="C6" s="4" t="n">
        <v>5</v>
      </c>
      <c r="D6" s="4" t="n">
        <v>4</v>
      </c>
      <c r="E6" s="4" t="n">
        <v>4</v>
      </c>
      <c r="F6" s="4" t="n">
        <v>3</v>
      </c>
      <c r="G6" s="4" t="n">
        <v>5</v>
      </c>
      <c r="H6" s="4" t="n">
        <v>3</v>
      </c>
      <c r="I6" s="4" t="n">
        <v>5</v>
      </c>
      <c r="J6" s="4" t="n">
        <v>3</v>
      </c>
      <c r="K6" s="4" t="n">
        <v>5</v>
      </c>
      <c r="L6" s="4" t="n">
        <v>4</v>
      </c>
      <c r="M6" s="4" t="n">
        <v>5</v>
      </c>
      <c r="N6" s="4" t="n">
        <v>5</v>
      </c>
      <c r="O6" s="4" t="n">
        <v>5</v>
      </c>
      <c r="P6" s="4" t="n">
        <v>4</v>
      </c>
      <c r="Q6" s="4" t="n">
        <v>5</v>
      </c>
      <c r="R6" s="4" t="n">
        <v>5</v>
      </c>
    </row>
    <row r="7">
      <c r="A7" s="4" t="inlineStr">
        <is>
          <t>U04</t>
        </is>
      </c>
      <c r="B7" s="4" t="n">
        <v>4</v>
      </c>
      <c r="C7" s="4" t="n">
        <v>3</v>
      </c>
      <c r="D7" s="4" t="n">
        <v>5</v>
      </c>
      <c r="E7" s="4" t="n">
        <v>4</v>
      </c>
      <c r="F7" s="4" t="n">
        <v>5</v>
      </c>
      <c r="G7" s="4" t="n">
        <v>5</v>
      </c>
      <c r="H7" s="4" t="n">
        <v>4</v>
      </c>
      <c r="I7" s="4" t="inlineStr"/>
      <c r="J7" s="4" t="n">
        <v>4</v>
      </c>
      <c r="K7" s="4" t="n">
        <v>5</v>
      </c>
      <c r="L7" s="4" t="n">
        <v>3</v>
      </c>
      <c r="M7" s="4" t="n">
        <v>3</v>
      </c>
      <c r="N7" s="4" t="n">
        <v>5</v>
      </c>
      <c r="O7" s="4" t="n">
        <v>5</v>
      </c>
      <c r="P7" s="4" t="n">
        <v>4</v>
      </c>
      <c r="Q7" s="4" t="n">
        <v>4</v>
      </c>
      <c r="R7" s="4" t="n">
        <v>4</v>
      </c>
    </row>
    <row r="8">
      <c r="A8" s="4" t="inlineStr">
        <is>
          <t>U05</t>
        </is>
      </c>
      <c r="B8" s="4" t="n">
        <v>5</v>
      </c>
      <c r="C8" s="4" t="n">
        <v>5</v>
      </c>
      <c r="D8" s="4" t="n">
        <v>4</v>
      </c>
      <c r="E8" s="4" t="n">
        <v>4</v>
      </c>
      <c r="F8" s="4" t="n">
        <v>4</v>
      </c>
      <c r="G8" s="4" t="n">
        <v>5</v>
      </c>
      <c r="H8" s="4" t="n">
        <v>5</v>
      </c>
      <c r="I8" s="4" t="n">
        <v>5</v>
      </c>
      <c r="J8" s="4" t="inlineStr"/>
      <c r="K8" s="4" t="n">
        <v>3</v>
      </c>
      <c r="L8" s="4" t="n">
        <v>3</v>
      </c>
      <c r="M8" s="4" t="n">
        <v>4</v>
      </c>
      <c r="N8" s="4" t="n">
        <v>5</v>
      </c>
      <c r="O8" s="4" t="n">
        <v>3</v>
      </c>
      <c r="P8" s="4" t="n">
        <v>3</v>
      </c>
      <c r="Q8" s="4" t="n">
        <v>4</v>
      </c>
      <c r="R8" s="4" t="n">
        <v>5</v>
      </c>
    </row>
    <row r="9">
      <c r="A9" s="4" t="inlineStr">
        <is>
          <t>U06</t>
        </is>
      </c>
      <c r="B9" s="4" t="n">
        <v>4</v>
      </c>
      <c r="C9" s="4" t="n">
        <v>3</v>
      </c>
      <c r="D9" s="4" t="n">
        <v>5</v>
      </c>
      <c r="E9" s="4" t="n">
        <v>4</v>
      </c>
      <c r="F9" s="4" t="n">
        <v>4</v>
      </c>
      <c r="G9" s="4" t="n">
        <v>5</v>
      </c>
      <c r="H9" s="4" t="n">
        <v>3</v>
      </c>
      <c r="I9" s="4" t="n">
        <v>5</v>
      </c>
      <c r="J9" s="4" t="n">
        <v>3</v>
      </c>
      <c r="K9" s="4" t="n">
        <v>4</v>
      </c>
      <c r="L9" s="4" t="n">
        <v>4</v>
      </c>
      <c r="M9" s="4" t="n">
        <v>4</v>
      </c>
      <c r="N9" s="4" t="n">
        <v>4</v>
      </c>
      <c r="O9" s="4" t="n">
        <v>5</v>
      </c>
      <c r="P9" s="4" t="n">
        <v>5</v>
      </c>
      <c r="Q9" s="4" t="n">
        <v>5</v>
      </c>
      <c r="R9" s="4" t="n">
        <v>3</v>
      </c>
    </row>
    <row r="10">
      <c r="A10" s="4" t="inlineStr">
        <is>
          <t>U07</t>
        </is>
      </c>
      <c r="B10" s="4" t="n">
        <v>5</v>
      </c>
      <c r="C10" s="4" t="n">
        <v>5</v>
      </c>
      <c r="D10" s="4" t="n">
        <v>4</v>
      </c>
      <c r="E10" s="4" t="n">
        <v>5</v>
      </c>
      <c r="F10" s="4" t="n">
        <v>4</v>
      </c>
      <c r="G10" s="4" t="n">
        <v>5</v>
      </c>
      <c r="H10" s="4" t="n">
        <v>4</v>
      </c>
      <c r="I10" s="4" t="n">
        <v>4</v>
      </c>
      <c r="J10" s="4" t="n">
        <v>3</v>
      </c>
      <c r="K10" s="4" t="n">
        <v>4</v>
      </c>
      <c r="L10" s="4" t="n">
        <v>4</v>
      </c>
      <c r="M10" s="4" t="n">
        <v>4</v>
      </c>
      <c r="N10" s="4" t="n">
        <v>4</v>
      </c>
      <c r="O10" s="4" t="n">
        <v>3</v>
      </c>
      <c r="P10" s="4" t="n">
        <v>5</v>
      </c>
      <c r="Q10" s="4" t="n">
        <v>5</v>
      </c>
      <c r="R10" s="4" t="n">
        <v>4</v>
      </c>
    </row>
    <row r="11">
      <c r="A11" s="4" t="inlineStr">
        <is>
          <t>U08</t>
        </is>
      </c>
      <c r="B11" s="4" t="n">
        <v>5</v>
      </c>
      <c r="C11" s="4" t="n">
        <v>5</v>
      </c>
      <c r="D11" s="4" t="n">
        <v>4</v>
      </c>
      <c r="E11" s="4" t="n">
        <v>4</v>
      </c>
      <c r="F11" s="4" t="n">
        <v>5</v>
      </c>
      <c r="G11" s="4" t="n">
        <v>5</v>
      </c>
      <c r="H11" s="4" t="n">
        <v>3</v>
      </c>
      <c r="I11" s="4" t="n">
        <v>5</v>
      </c>
      <c r="J11" s="4" t="n">
        <v>5</v>
      </c>
      <c r="K11" s="4" t="n">
        <v>5</v>
      </c>
      <c r="L11" s="4" t="n">
        <v>5</v>
      </c>
      <c r="M11" s="4" t="n">
        <v>5</v>
      </c>
      <c r="N11" s="4" t="n">
        <v>5</v>
      </c>
      <c r="O11" s="4" t="n">
        <v>3</v>
      </c>
      <c r="P11" s="4" t="n">
        <v>5</v>
      </c>
      <c r="Q11" s="4" t="n">
        <v>5</v>
      </c>
      <c r="R11" s="4" t="n">
        <v>3</v>
      </c>
    </row>
    <row r="12">
      <c r="A12" s="4" t="inlineStr">
        <is>
          <t>U09</t>
        </is>
      </c>
      <c r="B12" s="4" t="n">
        <v>4</v>
      </c>
      <c r="C12" s="4" t="n">
        <v>5</v>
      </c>
      <c r="D12" s="4" t="n">
        <v>3</v>
      </c>
      <c r="E12" s="4" t="n">
        <v>3</v>
      </c>
      <c r="F12" s="4" t="n">
        <v>3</v>
      </c>
      <c r="G12" s="4" t="n">
        <v>5</v>
      </c>
      <c r="H12" s="4" t="n">
        <v>4</v>
      </c>
      <c r="I12" s="4" t="n">
        <v>5</v>
      </c>
      <c r="J12" s="4" t="n">
        <v>3</v>
      </c>
      <c r="K12" s="4" t="n">
        <v>4</v>
      </c>
      <c r="L12" s="4" t="n">
        <v>5</v>
      </c>
      <c r="M12" s="4" t="n">
        <v>3</v>
      </c>
      <c r="N12" s="4" t="n">
        <v>3</v>
      </c>
      <c r="O12" s="4" t="n">
        <v>4</v>
      </c>
      <c r="P12" s="4" t="n">
        <v>5</v>
      </c>
      <c r="Q12" s="4" t="n">
        <v>5</v>
      </c>
      <c r="R12" s="4" t="n">
        <v>4</v>
      </c>
    </row>
    <row r="13">
      <c r="A13" s="4" t="inlineStr">
        <is>
          <t>U10</t>
        </is>
      </c>
      <c r="B13" s="4" t="n">
        <v>3</v>
      </c>
      <c r="C13" s="4" t="n">
        <v>3</v>
      </c>
      <c r="D13" s="4" t="n">
        <v>5</v>
      </c>
      <c r="E13" s="4" t="n">
        <v>5</v>
      </c>
      <c r="F13" s="4" t="n">
        <v>5</v>
      </c>
      <c r="G13" s="4" t="n">
        <v>5</v>
      </c>
      <c r="H13" s="4" t="n">
        <v>4</v>
      </c>
      <c r="I13" s="4" t="n">
        <v>3</v>
      </c>
      <c r="J13" s="4" t="n">
        <v>4</v>
      </c>
      <c r="K13" s="4" t="n">
        <v>3</v>
      </c>
      <c r="L13" s="4" t="n">
        <v>4</v>
      </c>
      <c r="M13" s="4" t="n">
        <v>4</v>
      </c>
      <c r="N13" s="4" t="n">
        <v>5</v>
      </c>
      <c r="O13" s="4" t="n">
        <v>4</v>
      </c>
      <c r="P13" s="4" t="n">
        <v>5</v>
      </c>
      <c r="Q13" s="4" t="n">
        <v>3</v>
      </c>
      <c r="R13" s="4" t="n">
        <v>4</v>
      </c>
    </row>
    <row r="14">
      <c r="A14" s="4" t="inlineStr">
        <is>
          <t>U11</t>
        </is>
      </c>
      <c r="B14" s="4" t="n">
        <v>5</v>
      </c>
      <c r="C14" s="4" t="n">
        <v>4</v>
      </c>
      <c r="D14" s="4" t="n">
        <v>3</v>
      </c>
      <c r="E14" s="4" t="n">
        <v>4</v>
      </c>
      <c r="F14" s="4" t="n">
        <v>5</v>
      </c>
      <c r="G14" s="4" t="n">
        <v>4</v>
      </c>
      <c r="H14" s="4" t="n">
        <v>4</v>
      </c>
      <c r="I14" s="4" t="n">
        <v>4</v>
      </c>
      <c r="J14" s="4" t="n">
        <v>4</v>
      </c>
      <c r="K14" s="4" t="n">
        <v>5</v>
      </c>
      <c r="L14" s="4" t="n">
        <v>5</v>
      </c>
      <c r="M14" s="4" t="n">
        <v>5</v>
      </c>
      <c r="N14" s="4" t="n">
        <v>4</v>
      </c>
      <c r="O14" s="4" t="n">
        <v>4</v>
      </c>
      <c r="P14" s="4" t="n">
        <v>5</v>
      </c>
      <c r="Q14" s="4" t="n">
        <v>4</v>
      </c>
      <c r="R14" s="4" t="n">
        <v>4</v>
      </c>
    </row>
    <row r="15">
      <c r="A15" s="4" t="inlineStr">
        <is>
          <t>U12</t>
        </is>
      </c>
      <c r="B15" s="4" t="n">
        <v>4</v>
      </c>
      <c r="C15" s="4" t="n">
        <v>3</v>
      </c>
      <c r="D15" s="4" t="n">
        <v>3</v>
      </c>
      <c r="E15" s="4" t="n">
        <v>4</v>
      </c>
      <c r="F15" s="4" t="n">
        <v>5</v>
      </c>
      <c r="G15" s="4" t="n">
        <v>4</v>
      </c>
      <c r="H15" s="4" t="n">
        <v>4</v>
      </c>
      <c r="I15" s="4" t="n">
        <v>5</v>
      </c>
      <c r="J15" s="4" t="n">
        <v>4</v>
      </c>
      <c r="K15" s="4" t="n">
        <v>5</v>
      </c>
      <c r="L15" s="4" t="n">
        <v>4</v>
      </c>
      <c r="M15" s="4" t="n">
        <v>4</v>
      </c>
      <c r="N15" s="4" t="n">
        <v>3</v>
      </c>
      <c r="O15" s="4" t="n">
        <v>4</v>
      </c>
      <c r="P15" s="4" t="n">
        <v>3</v>
      </c>
      <c r="Q15" s="4" t="n">
        <v>4</v>
      </c>
      <c r="R15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0" customWidth="1" min="3" max="3"/>
    <col width="10" customWidth="1" min="4" max="4"/>
  </cols>
  <sheetData>
    <row r="1">
      <c r="A1" s="1" t="inlineStr">
        <is>
          <t>ข้อมูลทั่วไป</t>
        </is>
      </c>
    </row>
    <row r="2">
      <c r="A2" s="6" t="inlineStr">
        <is>
          <t>ข้อมูลทั่วไปของผู้ตอบ (คำถามที่เลือกได้หลายข้อ ร้อยละคิดจากผู้ตอบทั้งหมด)</t>
        </is>
      </c>
    </row>
    <row r="3">
      <c r="A3" s="2" t="inlineStr">
        <is>
          <t>คำถาม</t>
        </is>
      </c>
      <c r="B3" s="2" t="inlineStr">
        <is>
          <t>ตัวเลือก</t>
        </is>
      </c>
      <c r="C3" s="2" t="inlineStr">
        <is>
          <t>จำนวน</t>
        </is>
      </c>
      <c r="D3" s="2" t="inlineStr">
        <is>
          <t>ร้อยละ</t>
        </is>
      </c>
    </row>
    <row r="4">
      <c r="A4" s="3" t="inlineStr">
        <is>
          <t>1. บทบาท</t>
        </is>
      </c>
      <c r="B4" s="3" t="inlineStr">
        <is>
          <t>ผู้ดูแลเครือข่าย</t>
        </is>
      </c>
      <c r="C4" s="3">
        <f>COUNTIFS('ข้อมูลดิบ-ช่องเลือก'!$B$2:$B$73,A4,'ข้อมูลดิบ-ช่องเลือก'!$C$2:$C$73,B4,'ข้อมูลดิบ-ช่องเลือก'!$D$2:$D$73,1)</f>
        <v/>
      </c>
      <c r="D4" s="7">
        <f>IF('สรุปผล'!$B$4=0,0,C4/'สรุปผล'!$B$4*100)</f>
        <v/>
      </c>
    </row>
    <row r="5">
      <c r="A5" s="3" t="inlineStr">
        <is>
          <t>1. บทบาท</t>
        </is>
      </c>
      <c r="B5" s="3" t="inlineStr">
        <is>
          <t>ผู้บริหาร</t>
        </is>
      </c>
      <c r="C5" s="3">
        <f>COUNTIFS('ข้อมูลดิบ-ช่องเลือก'!$B$2:$B$73,A5,'ข้อมูลดิบ-ช่องเลือก'!$C$2:$C$73,B5,'ข้อมูลดิบ-ช่องเลือก'!$D$2:$D$73,1)</f>
        <v/>
      </c>
      <c r="D5" s="7">
        <f>IF('สรุปผล'!$B$4=0,0,C5/'สรุปผล'!$B$4*100)</f>
        <v/>
      </c>
    </row>
    <row r="6">
      <c r="A6" s="3" t="inlineStr">
        <is>
          <t>1. บทบาท</t>
        </is>
      </c>
      <c r="B6" s="3" t="inlineStr">
        <is>
          <t>เจ้าหน้าที่สนับสนุน</t>
        </is>
      </c>
      <c r="C6" s="3">
        <f>COUNTIFS('ข้อมูลดิบ-ช่องเลือก'!$B$2:$B$73,A6,'ข้อมูลดิบ-ช่องเลือก'!$C$2:$C$73,B6,'ข้อมูลดิบ-ช่องเลือก'!$D$2:$D$73,1)</f>
        <v/>
      </c>
      <c r="D6" s="7">
        <f>IF('สรุปผล'!$B$4=0,0,C6/'สรุปผล'!$B$4*100)</f>
        <v/>
      </c>
    </row>
    <row r="8">
      <c r="A8" s="6" t="inlineStr">
        <is>
          <t>ร้อยละคิดจากจำนวนผู้ตอบทั้งหมด (เลือกได้หลายข้อ ผลรวมอาจเกิน 100)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" customWidth="1" min="3" max="3"/>
    <col width="9" customWidth="1" min="4" max="4"/>
    <col width="9" customWidth="1" min="5" max="5"/>
    <col width="14" customWidth="1" min="6" max="6"/>
  </cols>
  <sheetData>
    <row r="1">
      <c r="A1" s="1" t="inlineStr">
        <is>
          <t>ค่าเฉลี่ยรายด้าน</t>
        </is>
      </c>
    </row>
    <row r="3">
      <c r="A3" s="2" t="inlineStr">
        <is>
          <t>รหัส</t>
        </is>
      </c>
      <c r="B3" s="2" t="inlineStr">
        <is>
          <t>รายการ</t>
        </is>
      </c>
      <c r="C3" s="2" t="inlineStr">
        <is>
          <t>n</t>
        </is>
      </c>
      <c r="D3" s="2" t="inlineStr">
        <is>
          <t>X̄</t>
        </is>
      </c>
      <c r="E3" s="2" t="inlineStr">
        <is>
          <t>S.D.</t>
        </is>
      </c>
      <c r="F3" s="2" t="inlineStr">
        <is>
          <t>แปลผล</t>
        </is>
      </c>
    </row>
    <row r="4">
      <c r="A4" s="3" t="inlineStr">
        <is>
          <t>P01</t>
        </is>
      </c>
      <c r="B4" s="3" t="inlineStr">
        <is>
          <t>ข้อมูลสถานะอุปกรณ์กระจายอยู่หลายระบบ</t>
        </is>
      </c>
      <c r="C4" s="3">
        <f>COUNT('ข้อมูลดิบ'!$B$4:$B$15)</f>
        <v/>
      </c>
      <c r="D4" s="7">
        <f>AVERAGE('ข้อมูลดิบ'!$B$4:$B$15)</f>
        <v/>
      </c>
      <c r="E4" s="7">
        <f>_xlfn.STDEV.S('ข้อมูลดิบ'!$B$4:$B$15)</f>
        <v/>
      </c>
      <c r="F4" s="3">
        <f>IF(D4="","",IF(ROUND(D4,2)&lt;=1.8,"น้อยที่สุด",IF(ROUND(D4,2)&lt;=2.6,"น้อย",IF(ROUND(D4,2)&lt;=3.4,"ปานกลาง",IF(ROUND(D4,2)&lt;=4.2,"มาก","มากที่สุด")))))</f>
        <v/>
      </c>
    </row>
    <row r="5">
      <c r="A5" s="3" t="inlineStr">
        <is>
          <t>P02</t>
        </is>
      </c>
      <c r="B5" s="3" t="inlineStr">
        <is>
          <t>ทราบปัญหาอุปกรณ์ล่าช้า</t>
        </is>
      </c>
      <c r="C5" s="3">
        <f>COUNT('ข้อมูลดิบ'!$C$4:$C$15)</f>
        <v/>
      </c>
      <c r="D5" s="7">
        <f>AVERAGE('ข้อมูลดิบ'!$C$4:$C$15)</f>
        <v/>
      </c>
      <c r="E5" s="7">
        <f>_xlfn.STDEV.S('ข้อมูลดิบ'!$C$4:$C$15)</f>
        <v/>
      </c>
      <c r="F5" s="3">
        <f>IF(D5="","",IF(ROUND(D5,2)&lt;=1.8,"น้อยที่สุด",IF(ROUND(D5,2)&lt;=2.6,"น้อย",IF(ROUND(D5,2)&lt;=3.4,"ปานกลาง",IF(ROUND(D5,2)&lt;=4.2,"มาก","มากที่สุด")))))</f>
        <v/>
      </c>
    </row>
    <row r="6">
      <c r="A6" s="3" t="inlineStr">
        <is>
          <t>P03</t>
        </is>
      </c>
      <c r="B6" s="3" t="inlineStr">
        <is>
          <t>เปรียบเทียบสถานะระหว่างศูนย์ได้ยาก</t>
        </is>
      </c>
      <c r="C6" s="3">
        <f>COUNT('ข้อมูลดิบ'!$D$4:$D$15)</f>
        <v/>
      </c>
      <c r="D6" s="7">
        <f>AVERAGE('ข้อมูลดิบ'!$D$4:$D$15)</f>
        <v/>
      </c>
      <c r="E6" s="7">
        <f>_xlfn.STDEV.S('ข้อมูลดิบ'!$D$4:$D$15)</f>
        <v/>
      </c>
      <c r="F6" s="3">
        <f>IF(D6="","",IF(ROUND(D6,2)&lt;=1.8,"น้อยที่สุด",IF(ROUND(D6,2)&lt;=2.6,"น้อย",IF(ROUND(D6,2)&lt;=3.4,"ปานกลาง",IF(ROUND(D6,2)&lt;=4.2,"มาก","มากที่สุด")))))</f>
        <v/>
      </c>
    </row>
    <row r="7">
      <c r="A7" s="3" t="inlineStr">
        <is>
          <t>P04</t>
        </is>
      </c>
      <c r="B7" s="3" t="inlineStr">
        <is>
          <t>ไม่มีประวัติการแก้ไขข้อมูล</t>
        </is>
      </c>
      <c r="C7" s="3">
        <f>COUNT('ข้อมูลดิบ'!$E$4:$E$15)</f>
        <v/>
      </c>
      <c r="D7" s="7">
        <f>AVERAGE('ข้อมูลดิบ'!$E$4:$E$15)</f>
        <v/>
      </c>
      <c r="E7" s="7">
        <f>_xlfn.STDEV.S('ข้อมูลดิบ'!$E$4:$E$15)</f>
        <v/>
      </c>
      <c r="F7" s="3">
        <f>IF(D7="","",IF(ROUND(D7,2)&lt;=1.8,"น้อยที่สุด",IF(ROUND(D7,2)&lt;=2.6,"น้อย",IF(ROUND(D7,2)&lt;=3.4,"ปานกลาง",IF(ROUND(D7,2)&lt;=4.2,"มาก","มากที่สุด")))))</f>
        <v/>
      </c>
    </row>
    <row r="8">
      <c r="A8" s="3" t="inlineStr">
        <is>
          <t>P05</t>
        </is>
      </c>
      <c r="B8" s="3" t="inlineStr">
        <is>
          <t>จัดทำรายงานประจำเดือนใช้เวลามาก</t>
        </is>
      </c>
      <c r="C8" s="3">
        <f>COUNT('ข้อมูลดิบ'!$F$4:$F$15)</f>
        <v/>
      </c>
      <c r="D8" s="7">
        <f>AVERAGE('ข้อมูลดิบ'!$F$4:$F$15)</f>
        <v/>
      </c>
      <c r="E8" s="7">
        <f>_xlfn.STDEV.S('ข้อมูลดิบ'!$F$4:$F$15)</f>
        <v/>
      </c>
      <c r="F8" s="3">
        <f>IF(D8="","",IF(ROUND(D8,2)&lt;=1.8,"น้อยที่สุด",IF(ROUND(D8,2)&lt;=2.6,"น้อย",IF(ROUND(D8,2)&lt;=3.4,"ปานกลาง",IF(ROUND(D8,2)&lt;=4.2,"มาก","มากที่สุด")))))</f>
        <v/>
      </c>
    </row>
    <row r="9">
      <c r="A9" s="8" t="inlineStr"/>
      <c r="B9" s="8" t="inlineStr">
        <is>
          <t>รวมปัญหา (P)</t>
        </is>
      </c>
      <c r="C9" s="8">
        <f>COUNT('ข้อมูลดิบ'!$B$4:$B$15,'ข้อมูลดิบ'!$C$4:$C$15,'ข้อมูลดิบ'!$D$4:$D$15,'ข้อมูลดิบ'!$E$4:$E$15,'ข้อมูลดิบ'!$F$4:$F$15)</f>
        <v/>
      </c>
      <c r="D9" s="9">
        <f>AVERAGE('ข้อมูลดิบ'!$B$4:$B$15,'ข้อมูลดิบ'!$C$4:$C$15,'ข้อมูลดิบ'!$D$4:$D$15,'ข้อมูลดิบ'!$E$4:$E$15,'ข้อมูลดิบ'!$F$4:$F$15)</f>
        <v/>
      </c>
      <c r="E9" s="9">
        <f>_xlfn.STDEV.S('ข้อมูลดิบ'!$B$4:$B$15,'ข้อมูลดิบ'!$C$4:$C$15,'ข้อมูลดิบ'!$D$4:$D$15,'ข้อมูลดิบ'!$E$4:$E$15,'ข้อมูลดิบ'!$F$4:$F$15)</f>
        <v/>
      </c>
      <c r="F9" s="8">
        <f>IF(D9="","",IF(ROUND(D9,2)&lt;=1.8,"น้อยที่สุด",IF(ROUND(D9,2)&lt;=2.6,"น้อย",IF(ROUND(D9,2)&lt;=3.4,"ปานกลาง",IF(ROUND(D9,2)&lt;=4.2,"มาก","มากที่สุด")))))</f>
        <v/>
      </c>
    </row>
    <row r="10">
      <c r="A10" s="3" t="inlineStr">
        <is>
          <t>N01</t>
        </is>
      </c>
      <c r="B10" s="3" t="inlineStr">
        <is>
          <t>ภาพรวมสถานะอุปกรณ์แยกตามศูนย์</t>
        </is>
      </c>
      <c r="C10" s="3">
        <f>COUNT('ข้อมูลดิบ'!$G$4:$G$15)</f>
        <v/>
      </c>
      <c r="D10" s="7">
        <f>AVERAGE('ข้อมูลดิบ'!$G$4:$G$15)</f>
        <v/>
      </c>
      <c r="E10" s="7">
        <f>_xlfn.STDEV.S('ข้อมูลดิบ'!$G$4:$G$15)</f>
        <v/>
      </c>
      <c r="F10" s="3">
        <f>IF(D10="","",IF(ROUND(D10,2)&lt;=1.8,"น้อยที่สุด",IF(ROUND(D10,2)&lt;=2.6,"น้อย",IF(ROUND(D10,2)&lt;=3.4,"ปานกลาง",IF(ROUND(D10,2)&lt;=4.2,"มาก","มากที่สุด")))))</f>
        <v/>
      </c>
    </row>
    <row r="11">
      <c r="A11" s="3" t="inlineStr">
        <is>
          <t>N02</t>
        </is>
      </c>
      <c r="B11" s="3" t="inlineStr">
        <is>
          <t>รายการอุปกรณ์และตำแหน่งติดตั้ง</t>
        </is>
      </c>
      <c r="C11" s="3">
        <f>COUNT('ข้อมูลดิบ'!$H$4:$H$15)</f>
        <v/>
      </c>
      <c r="D11" s="7">
        <f>AVERAGE('ข้อมูลดิบ'!$H$4:$H$15)</f>
        <v/>
      </c>
      <c r="E11" s="7">
        <f>_xlfn.STDEV.S('ข้อมูลดิบ'!$H$4:$H$15)</f>
        <v/>
      </c>
      <c r="F11" s="3">
        <f>IF(D11="","",IF(ROUND(D11,2)&lt;=1.8,"น้อยที่สุด",IF(ROUND(D11,2)&lt;=2.6,"น้อย",IF(ROUND(D11,2)&lt;=3.4,"ปานกลาง",IF(ROUND(D11,2)&lt;=4.2,"มาก","มากที่สุด")))))</f>
        <v/>
      </c>
    </row>
    <row r="12">
      <c r="A12" s="3" t="inlineStr">
        <is>
          <t>N03</t>
        </is>
      </c>
      <c r="B12" s="3" t="inlineStr">
        <is>
          <t>ประวัติเหตุขัดข้องย้อนหลัง</t>
        </is>
      </c>
      <c r="C12" s="3">
        <f>COUNT('ข้อมูลดิบ'!$I$4:$I$15)</f>
        <v/>
      </c>
      <c r="D12" s="7">
        <f>AVERAGE('ข้อมูลดิบ'!$I$4:$I$15)</f>
        <v/>
      </c>
      <c r="E12" s="7">
        <f>_xlfn.STDEV.S('ข้อมูลดิบ'!$I$4:$I$15)</f>
        <v/>
      </c>
      <c r="F12" s="3">
        <f>IF(D12="","",IF(ROUND(D12,2)&lt;=1.8,"น้อยที่สุด",IF(ROUND(D12,2)&lt;=2.6,"น้อย",IF(ROUND(D12,2)&lt;=3.4,"ปานกลาง",IF(ROUND(D12,2)&lt;=4.2,"มาก","มากที่สุด")))))</f>
        <v/>
      </c>
    </row>
    <row r="13">
      <c r="A13" s="3" t="inlineStr">
        <is>
          <t>N04</t>
        </is>
      </c>
      <c r="B13" s="3" t="inlineStr">
        <is>
          <t>ข้อมูลการใช้งานแบนด์วิดท์</t>
        </is>
      </c>
      <c r="C13" s="3">
        <f>COUNT('ข้อมูลดิบ'!$J$4:$J$15)</f>
        <v/>
      </c>
      <c r="D13" s="7">
        <f>AVERAGE('ข้อมูลดิบ'!$J$4:$J$15)</f>
        <v/>
      </c>
      <c r="E13" s="7">
        <f>_xlfn.STDEV.S('ข้อมูลดิบ'!$J$4:$J$15)</f>
        <v/>
      </c>
      <c r="F13" s="3">
        <f>IF(D13="","",IF(ROUND(D13,2)&lt;=1.8,"น้อยที่สุด",IF(ROUND(D13,2)&lt;=2.6,"น้อย",IF(ROUND(D13,2)&lt;=3.4,"ปานกลาง",IF(ROUND(D13,2)&lt;=4.2,"มาก","มากที่สุด")))))</f>
        <v/>
      </c>
    </row>
    <row r="14">
      <c r="A14" s="8" t="inlineStr"/>
      <c r="B14" s="8" t="inlineStr">
        <is>
          <t>รวมด้านข้อมูล</t>
        </is>
      </c>
      <c r="C14" s="8">
        <f>COUNT('ข้อมูลดิบ'!$G$4:$G$15,'ข้อมูลดิบ'!$H$4:$H$15,'ข้อมูลดิบ'!$I$4:$I$15,'ข้อมูลดิบ'!$J$4:$J$15)</f>
        <v/>
      </c>
      <c r="D14" s="9">
        <f>AVERAGE('ข้อมูลดิบ'!$G$4:$G$15,'ข้อมูลดิบ'!$H$4:$H$15,'ข้อมูลดิบ'!$I$4:$I$15,'ข้อมูลดิบ'!$J$4:$J$15)</f>
        <v/>
      </c>
      <c r="E14" s="9">
        <f>_xlfn.STDEV.S('ข้อมูลดิบ'!$G$4:$G$15,'ข้อมูลดิบ'!$H$4:$H$15,'ข้อมูลดิบ'!$I$4:$I$15,'ข้อมูลดิบ'!$J$4:$J$15)</f>
        <v/>
      </c>
      <c r="F14" s="8">
        <f>IF(D14="","",IF(ROUND(D14,2)&lt;=1.8,"น้อยที่สุด",IF(ROUND(D14,2)&lt;=2.6,"น้อย",IF(ROUND(D14,2)&lt;=3.4,"ปานกลาง",IF(ROUND(D14,2)&lt;=4.2,"มาก","มากที่สุด")))))</f>
        <v/>
      </c>
    </row>
    <row r="15">
      <c r="A15" s="3" t="inlineStr">
        <is>
          <t>N05</t>
        </is>
      </c>
      <c r="B15" s="3" t="inlineStr">
        <is>
          <t>แจ้งเตือนเมื่ออุปกรณ์ขัดข้อง</t>
        </is>
      </c>
      <c r="C15" s="3">
        <f>COUNT('ข้อมูลดิบ'!$K$4:$K$15)</f>
        <v/>
      </c>
      <c r="D15" s="7">
        <f>AVERAGE('ข้อมูลดิบ'!$K$4:$K$15)</f>
        <v/>
      </c>
      <c r="E15" s="7">
        <f>_xlfn.STDEV.S('ข้อมูลดิบ'!$K$4:$K$15)</f>
        <v/>
      </c>
      <c r="F15" s="3">
        <f>IF(D15="","",IF(ROUND(D15,2)&lt;=1.8,"น้อยที่สุด",IF(ROUND(D15,2)&lt;=2.6,"น้อย",IF(ROUND(D15,2)&lt;=3.4,"ปานกลาง",IF(ROUND(D15,2)&lt;=4.2,"มาก","มากที่สุด")))))</f>
        <v/>
      </c>
    </row>
    <row r="16">
      <c r="A16" s="3" t="inlineStr">
        <is>
          <t>N06</t>
        </is>
      </c>
      <c r="B16" s="3" t="inlineStr">
        <is>
          <t>จัดลำดับอุปกรณ์ที่ต้องดำเนินการก่อน</t>
        </is>
      </c>
      <c r="C16" s="3">
        <f>COUNT('ข้อมูลดิบ'!$L$4:$L$15)</f>
        <v/>
      </c>
      <c r="D16" s="7">
        <f>AVERAGE('ข้อมูลดิบ'!$L$4:$L$15)</f>
        <v/>
      </c>
      <c r="E16" s="7">
        <f>_xlfn.STDEV.S('ข้อมูลดิบ'!$L$4:$L$15)</f>
        <v/>
      </c>
      <c r="F16" s="3">
        <f>IF(D16="","",IF(ROUND(D16,2)&lt;=1.8,"น้อยที่สุด",IF(ROUND(D16,2)&lt;=2.6,"น้อย",IF(ROUND(D16,2)&lt;=3.4,"ปานกลาง",IF(ROUND(D16,2)&lt;=4.2,"มาก","มากที่สุด")))))</f>
        <v/>
      </c>
    </row>
    <row r="17">
      <c r="A17" s="3" t="inlineStr">
        <is>
          <t>N07</t>
        </is>
      </c>
      <c r="B17" s="3" t="inlineStr">
        <is>
          <t>ค้นหาอุปกรณ์ตามศูนย์และสถานะ</t>
        </is>
      </c>
      <c r="C17" s="3">
        <f>COUNT('ข้อมูลดิบ'!$M$4:$M$15)</f>
        <v/>
      </c>
      <c r="D17" s="7">
        <f>AVERAGE('ข้อมูลดิบ'!$M$4:$M$15)</f>
        <v/>
      </c>
      <c r="E17" s="7">
        <f>_xlfn.STDEV.S('ข้อมูลดิบ'!$M$4:$M$15)</f>
        <v/>
      </c>
      <c r="F17" s="3">
        <f>IF(D17="","",IF(ROUND(D17,2)&lt;=1.8,"น้อยที่สุด",IF(ROUND(D17,2)&lt;=2.6,"น้อย",IF(ROUND(D17,2)&lt;=3.4,"ปานกลาง",IF(ROUND(D17,2)&lt;=4.2,"มาก","มากที่สุด")))))</f>
        <v/>
      </c>
    </row>
    <row r="18">
      <c r="A18" s="3" t="inlineStr">
        <is>
          <t>N08</t>
        </is>
      </c>
      <c r="B18" s="3" t="inlineStr">
        <is>
          <t>สร้างรายงานสรุปประจำเดือน</t>
        </is>
      </c>
      <c r="C18" s="3">
        <f>COUNT('ข้อมูลดิบ'!$N$4:$N$15)</f>
        <v/>
      </c>
      <c r="D18" s="7">
        <f>AVERAGE('ข้อมูลดิบ'!$N$4:$N$15)</f>
        <v/>
      </c>
      <c r="E18" s="7">
        <f>_xlfn.STDEV.S('ข้อมูลดิบ'!$N$4:$N$15)</f>
        <v/>
      </c>
      <c r="F18" s="3">
        <f>IF(D18="","",IF(ROUND(D18,2)&lt;=1.8,"น้อยที่สุด",IF(ROUND(D18,2)&lt;=2.6,"น้อย",IF(ROUND(D18,2)&lt;=3.4,"ปานกลาง",IF(ROUND(D18,2)&lt;=4.2,"มาก","มากที่สุด")))))</f>
        <v/>
      </c>
    </row>
    <row r="19">
      <c r="A19" s="3" t="inlineStr">
        <is>
          <t>N09</t>
        </is>
      </c>
      <c r="B19" s="3" t="inlineStr">
        <is>
          <t>แจ้งข้อมูลผิดพลาดจากผู้ใช้</t>
        </is>
      </c>
      <c r="C19" s="3">
        <f>COUNT('ข้อมูลดิบ'!$O$4:$O$15)</f>
        <v/>
      </c>
      <c r="D19" s="7">
        <f>AVERAGE('ข้อมูลดิบ'!$O$4:$O$15)</f>
        <v/>
      </c>
      <c r="E19" s="7">
        <f>_xlfn.STDEV.S('ข้อมูลดิบ'!$O$4:$O$15)</f>
        <v/>
      </c>
      <c r="F19" s="3">
        <f>IF(D19="","",IF(ROUND(D19,2)&lt;=1.8,"น้อยที่สุด",IF(ROUND(D19,2)&lt;=2.6,"น้อย",IF(ROUND(D19,2)&lt;=3.4,"ปานกลาง",IF(ROUND(D19,2)&lt;=4.2,"มาก","มากที่สุด")))))</f>
        <v/>
      </c>
    </row>
    <row r="20">
      <c r="A20" s="8" t="inlineStr"/>
      <c r="B20" s="8" t="inlineStr">
        <is>
          <t>รวมด้านหน้าที่ของระบบ</t>
        </is>
      </c>
      <c r="C20" s="8">
        <f>COUNT('ข้อมูลดิบ'!$K$4:$K$15,'ข้อมูลดิบ'!$L$4:$L$15,'ข้อมูลดิบ'!$M$4:$M$15,'ข้อมูลดิบ'!$N$4:$N$15,'ข้อมูลดิบ'!$O$4:$O$15)</f>
        <v/>
      </c>
      <c r="D20" s="9">
        <f>AVERAGE('ข้อมูลดิบ'!$K$4:$K$15,'ข้อมูลดิบ'!$L$4:$L$15,'ข้อมูลดิบ'!$M$4:$M$15,'ข้อมูลดิบ'!$N$4:$N$15,'ข้อมูลดิบ'!$O$4:$O$15)</f>
        <v/>
      </c>
      <c r="E20" s="9">
        <f>_xlfn.STDEV.S('ข้อมูลดิบ'!$K$4:$K$15,'ข้อมูลดิบ'!$L$4:$L$15,'ข้อมูลดิบ'!$M$4:$M$15,'ข้อมูลดิบ'!$N$4:$N$15,'ข้อมูลดิบ'!$O$4:$O$15)</f>
        <v/>
      </c>
      <c r="F20" s="8">
        <f>IF(D20="","",IF(ROUND(D20,2)&lt;=1.8,"น้อยที่สุด",IF(ROUND(D20,2)&lt;=2.6,"น้อย",IF(ROUND(D20,2)&lt;=3.4,"ปานกลาง",IF(ROUND(D20,2)&lt;=4.2,"มาก","มากที่สุด")))))</f>
        <v/>
      </c>
    </row>
    <row r="21">
      <c r="A21" s="3" t="inlineStr">
        <is>
          <t>N10</t>
        </is>
      </c>
      <c r="B21" s="3" t="inlineStr">
        <is>
          <t>ข้อมูลเป็นปัจจุบันไม่เกิน 5 นาที</t>
        </is>
      </c>
      <c r="C21" s="3">
        <f>COUNT('ข้อมูลดิบ'!$P$4:$P$15)</f>
        <v/>
      </c>
      <c r="D21" s="7">
        <f>AVERAGE('ข้อมูลดิบ'!$P$4:$P$15)</f>
        <v/>
      </c>
      <c r="E21" s="7">
        <f>_xlfn.STDEV.S('ข้อมูลดิบ'!$P$4:$P$15)</f>
        <v/>
      </c>
      <c r="F21" s="3">
        <f>IF(D21="","",IF(ROUND(D21,2)&lt;=1.8,"น้อยที่สุด",IF(ROUND(D21,2)&lt;=2.6,"น้อย",IF(ROUND(D21,2)&lt;=3.4,"ปานกลาง",IF(ROUND(D21,2)&lt;=4.2,"มาก","มากที่สุด")))))</f>
        <v/>
      </c>
    </row>
    <row r="22">
      <c r="A22" s="3" t="inlineStr">
        <is>
          <t>N11</t>
        </is>
      </c>
      <c r="B22" s="3" t="inlineStr">
        <is>
          <t>กำหนดสิทธิ์การเข้าถึงตามบทบาท</t>
        </is>
      </c>
      <c r="C22" s="3">
        <f>COUNT('ข้อมูลดิบ'!$Q$4:$Q$15)</f>
        <v/>
      </c>
      <c r="D22" s="7">
        <f>AVERAGE('ข้อมูลดิบ'!$Q$4:$Q$15)</f>
        <v/>
      </c>
      <c r="E22" s="7">
        <f>_xlfn.STDEV.S('ข้อมูลดิบ'!$Q$4:$Q$15)</f>
        <v/>
      </c>
      <c r="F22" s="3">
        <f>IF(D22="","",IF(ROUND(D22,2)&lt;=1.8,"น้อยที่สุด",IF(ROUND(D22,2)&lt;=2.6,"น้อย",IF(ROUND(D22,2)&lt;=3.4,"ปานกลาง",IF(ROUND(D22,2)&lt;=4.2,"มาก","มากที่สุด")))))</f>
        <v/>
      </c>
    </row>
    <row r="23">
      <c r="A23" s="3" t="inlineStr">
        <is>
          <t>N12</t>
        </is>
      </c>
      <c r="B23" s="3" t="inlineStr">
        <is>
          <t>บันทึกประวัติการแก้ไขข้อมูล</t>
        </is>
      </c>
      <c r="C23" s="3">
        <f>COUNT('ข้อมูลดิบ'!$R$4:$R$15)</f>
        <v/>
      </c>
      <c r="D23" s="7">
        <f>AVERAGE('ข้อมูลดิบ'!$R$4:$R$15)</f>
        <v/>
      </c>
      <c r="E23" s="7">
        <f>_xlfn.STDEV.S('ข้อมูลดิบ'!$R$4:$R$15)</f>
        <v/>
      </c>
      <c r="F23" s="3">
        <f>IF(D23="","",IF(ROUND(D23,2)&lt;=1.8,"น้อยที่สุด",IF(ROUND(D23,2)&lt;=2.6,"น้อย",IF(ROUND(D23,2)&lt;=3.4,"ปานกลาง",IF(ROUND(D23,2)&lt;=4.2,"มาก","มากที่สุด")))))</f>
        <v/>
      </c>
    </row>
    <row r="24">
      <c r="A24" s="8" t="inlineStr"/>
      <c r="B24" s="8" t="inlineStr">
        <is>
          <t>รวมด้านคุณภาพ</t>
        </is>
      </c>
      <c r="C24" s="8">
        <f>COUNT('ข้อมูลดิบ'!$P$4:$P$15,'ข้อมูลดิบ'!$Q$4:$Q$15,'ข้อมูลดิบ'!$R$4:$R$15)</f>
        <v/>
      </c>
      <c r="D24" s="9">
        <f>AVERAGE('ข้อมูลดิบ'!$P$4:$P$15,'ข้อมูลดิบ'!$Q$4:$Q$15,'ข้อมูลดิบ'!$R$4:$R$15)</f>
        <v/>
      </c>
      <c r="E24" s="9">
        <f>_xlfn.STDEV.S('ข้อมูลดิบ'!$P$4:$P$15,'ข้อมูลดิบ'!$Q$4:$Q$15,'ข้อมูลดิบ'!$R$4:$R$15)</f>
        <v/>
      </c>
      <c r="F24" s="8">
        <f>IF(D24="","",IF(ROUND(D24,2)&lt;=1.8,"น้อยที่สุด",IF(ROUND(D24,2)&lt;=2.6,"น้อย",IF(ROUND(D24,2)&lt;=3.4,"ปานกลาง",IF(ROUND(D24,2)&lt;=4.2,"มาก","มากที่สุด")))))</f>
        <v/>
      </c>
    </row>
    <row r="25">
      <c r="A25" s="8" t="inlineStr"/>
      <c r="B25" s="8" t="inlineStr">
        <is>
          <t>ภาพรวม</t>
        </is>
      </c>
      <c r="C25" s="8">
        <f>COUNT('ข้อมูลดิบ'!$B$4:$B$15,'ข้อมูลดิบ'!$C$4:$C$15,'ข้อมูลดิบ'!$D$4:$D$15,'ข้อมูลดิบ'!$E$4:$E$15,'ข้อมูลดิบ'!$F$4:$F$15,'ข้อมูลดิบ'!$G$4:$G$15,'ข้อมูลดิบ'!$H$4:$H$15,'ข้อมูลดิบ'!$I$4:$I$15,'ข้อมูลดิบ'!$J$4:$J$15,'ข้อมูลดิบ'!$K$4:$K$15,'ข้อมูลดิบ'!$L$4:$L$15,'ข้อมูลดิบ'!$M$4:$M$15,'ข้อมูลดิบ'!$N$4:$N$15,'ข้อมูลดิบ'!$O$4:$O$15,'ข้อมูลดิบ'!$P$4:$P$15,'ข้อมูลดิบ'!$Q$4:$Q$15,'ข้อมูลดิบ'!$R$4:$R$15)</f>
        <v/>
      </c>
      <c r="D25" s="9">
        <f>AVERAGE('ข้อมูลดิบ'!$B$4:$B$15,'ข้อมูลดิบ'!$C$4:$C$15,'ข้อมูลดิบ'!$D$4:$D$15,'ข้อมูลดิบ'!$E$4:$E$15,'ข้อมูลดิบ'!$F$4:$F$15,'ข้อมูลดิบ'!$G$4:$G$15,'ข้อมูลดิบ'!$H$4:$H$15,'ข้อมูลดิบ'!$I$4:$I$15,'ข้อมูลดิบ'!$J$4:$J$15,'ข้อมูลดิบ'!$K$4:$K$15,'ข้อมูลดิบ'!$L$4:$L$15,'ข้อมูลดิบ'!$M$4:$M$15,'ข้อมูลดิบ'!$N$4:$N$15,'ข้อมูลดิบ'!$O$4:$O$15,'ข้อมูลดิบ'!$P$4:$P$15,'ข้อมูลดิบ'!$Q$4:$Q$15,'ข้อมูลดิบ'!$R$4:$R$15)</f>
        <v/>
      </c>
      <c r="E25" s="9">
        <f>_xlfn.STDEV.S('ข้อมูลดิบ'!$B$4:$B$15,'ข้อมูลดิบ'!$C$4:$C$15,'ข้อมูลดิบ'!$D$4:$D$15,'ข้อมูลดิบ'!$E$4:$E$15,'ข้อมูลดิบ'!$F$4:$F$15,'ข้อมูลดิบ'!$G$4:$G$15,'ข้อมูลดิบ'!$H$4:$H$15,'ข้อมูลดิบ'!$I$4:$I$15,'ข้อมูลดิบ'!$J$4:$J$15,'ข้อมูลดิบ'!$K$4:$K$15,'ข้อมูลดิบ'!$L$4:$L$15,'ข้อมูลดิบ'!$M$4:$M$15,'ข้อมูลดิบ'!$N$4:$N$15,'ข้อมูลดิบ'!$O$4:$O$15,'ข้อมูลดิบ'!$P$4:$P$15,'ข้อมูลดิบ'!$Q$4:$Q$15,'ข้อมูลดิบ'!$R$4:$R$15)</f>
        <v/>
      </c>
      <c r="F25" s="8">
        <f>IF(D25="","",IF(ROUND(D25,2)&lt;=1.8,"น้อยที่สุด",IF(ROUND(D25,2)&lt;=2.6,"น้อย",IF(ROUND(D25,2)&lt;=3.4,"ปานกลาง",IF(ROUND(D25,2)&lt;=4.2,"มาก","มากที่สุด")))))</f>
        <v/>
      </c>
    </row>
    <row r="27">
      <c r="A27" s="6" t="inlineStr">
        <is>
          <t>หมายเหตุ: ค่ารายด้านและภาพรวมคำนวณจากคะแนนดิบทุกค่า S.D. แบบตัวอย่าง (n − 1) แปลผล 1.00–1.80 น้อยที่สุด 1.81–2.60 น้อย 2.61–3.40 ปานกลาง 3.41–4.20 มาก 4.21–5.00 มากที่สุด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0" customWidth="1" min="3" max="3"/>
    <col width="10" customWidth="1" min="4" max="4"/>
  </cols>
  <sheetData>
    <row r="1">
      <c r="A1" s="1" t="inlineStr">
        <is>
          <t>การเลือกฟังก์ชัน</t>
        </is>
      </c>
    </row>
    <row r="3">
      <c r="A3" s="2" t="inlineStr">
        <is>
          <t>คำถาม</t>
        </is>
      </c>
      <c r="B3" s="2" t="inlineStr">
        <is>
          <t>ตัวเลือก</t>
        </is>
      </c>
      <c r="C3" s="2" t="inlineStr">
        <is>
          <t>จำนวน</t>
        </is>
      </c>
      <c r="D3" s="2" t="inlineStr">
        <is>
          <t>ร้อยละ</t>
        </is>
      </c>
    </row>
    <row r="4">
      <c r="A4" s="3" t="inlineStr">
        <is>
          <t>ฟังก์ชันที่ควรพัฒนาก่อน (เลือกได้หลายข้อ)</t>
        </is>
      </c>
      <c r="B4" s="3" t="inlineStr">
        <is>
          <t>หน้าภาพรวมสถานะ</t>
        </is>
      </c>
      <c r="C4" s="3">
        <f>COUNTIFS('ข้อมูลดิบ-ช่องเลือก'!$B$2:$B$73,A4,'ข้อมูลดิบ-ช่องเลือก'!$C$2:$C$73,B4,'ข้อมูลดิบ-ช่องเลือก'!$D$2:$D$73,1)</f>
        <v/>
      </c>
      <c r="D4" s="7">
        <f>IF('สรุปผล'!$B$4=0,0,C4/'สรุปผล'!$B$4*100)</f>
        <v/>
      </c>
    </row>
    <row r="5">
      <c r="A5" s="3" t="inlineStr">
        <is>
          <t>ฟังก์ชันที่ควรพัฒนาก่อน (เลือกได้หลายข้อ)</t>
        </is>
      </c>
      <c r="B5" s="3" t="inlineStr">
        <is>
          <t>การแจ้งเตือน</t>
        </is>
      </c>
      <c r="C5" s="3">
        <f>COUNTIFS('ข้อมูลดิบ-ช่องเลือก'!$B$2:$B$73,A5,'ข้อมูลดิบ-ช่องเลือก'!$C$2:$C$73,B5,'ข้อมูลดิบ-ช่องเลือก'!$D$2:$D$73,1)</f>
        <v/>
      </c>
      <c r="D5" s="7">
        <f>IF('สรุปผล'!$B$4=0,0,C5/'สรุปผล'!$B$4*100)</f>
        <v/>
      </c>
    </row>
    <row r="6">
      <c r="A6" s="3" t="inlineStr">
        <is>
          <t>ฟังก์ชันที่ควรพัฒนาก่อน (เลือกได้หลายข้อ)</t>
        </is>
      </c>
      <c r="B6" s="3" t="inlineStr">
        <is>
          <t>รายงานประจำเดือน</t>
        </is>
      </c>
      <c r="C6" s="3">
        <f>COUNTIFS('ข้อมูลดิบ-ช่องเลือก'!$B$2:$B$73,A6,'ข้อมูลดิบ-ช่องเลือก'!$C$2:$C$73,B6,'ข้อมูลดิบ-ช่องเลือก'!$D$2:$D$73,1)</f>
        <v/>
      </c>
      <c r="D6" s="7">
        <f>IF('สรุปผล'!$B$4=0,0,C6/'สรุปผล'!$B$4*100)</f>
        <v/>
      </c>
    </row>
    <row r="8">
      <c r="A8" s="6" t="inlineStr">
        <is>
          <t>ร้อยละคิดจากจำนวนผู้ตอบทั้งหมด (เลือกได้หลายข้อ ผลรวมอาจเกิน 100)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80" customWidth="1" min="4" max="4"/>
  </cols>
  <sheetData>
    <row r="1">
      <c r="A1" s="1" t="inlineStr">
        <is>
          <t>คำตอบปลายเปิด</t>
        </is>
      </c>
    </row>
    <row r="3">
      <c r="A3" s="2" t="inlineStr">
        <is>
          <t>ผู้ตอบ</t>
        </is>
      </c>
      <c r="B3" s="2" t="inlineStr">
        <is>
          <t>รหัส</t>
        </is>
      </c>
      <c r="C3" s="2" t="inlineStr">
        <is>
          <t>ช่อง</t>
        </is>
      </c>
      <c r="D3" s="2" t="inlineStr">
        <is>
          <t>ข้อความ</t>
        </is>
      </c>
    </row>
    <row r="4">
      <c r="A4" s="4" t="inlineStr">
        <is>
          <t>U01</t>
        </is>
      </c>
      <c r="B4" s="4" t="inlineStr">
        <is>
          <t>OP01</t>
        </is>
      </c>
      <c r="C4" s="4" t="inlineStr"/>
      <c r="D4" s="4" t="inlineStr">
        <is>
          <t>อุปกรณ์รุ่นเก่าส่งข้อมูลไม่ได้ (ผู้ตอบ U01)</t>
        </is>
      </c>
    </row>
    <row r="5">
      <c r="A5" s="4" t="inlineStr">
        <is>
          <t>U03</t>
        </is>
      </c>
      <c r="B5" s="4" t="inlineStr">
        <is>
          <t>OP01</t>
        </is>
      </c>
      <c r="C5" s="4" t="inlineStr"/>
      <c r="D5" s="4" t="inlineStr">
        <is>
          <t>อุปกรณ์รุ่นเก่าส่งข้อมูลไม่ได้ (ผู้ตอบ U03)</t>
        </is>
      </c>
    </row>
    <row r="6">
      <c r="A6" s="4" t="inlineStr">
        <is>
          <t>U05</t>
        </is>
      </c>
      <c r="B6" s="4" t="inlineStr">
        <is>
          <t>OP01</t>
        </is>
      </c>
      <c r="C6" s="4" t="inlineStr"/>
      <c r="D6" s="4" t="inlineStr">
        <is>
          <t>อุปกรณ์รุ่นเก่าส่งข้อมูลไม่ได้ (ผู้ตอบ U05)</t>
        </is>
      </c>
    </row>
    <row r="7">
      <c r="A7" s="4" t="inlineStr">
        <is>
          <t>U07</t>
        </is>
      </c>
      <c r="B7" s="4" t="inlineStr">
        <is>
          <t>OP01</t>
        </is>
      </c>
      <c r="C7" s="4" t="inlineStr"/>
      <c r="D7" s="4" t="inlineStr">
        <is>
          <t>อุปกรณ์รุ่นเก่าส่งข้อมูลไม่ได้ (ผู้ตอบ U07)</t>
        </is>
      </c>
    </row>
    <row r="8">
      <c r="A8" s="4" t="inlineStr">
        <is>
          <t>U09</t>
        </is>
      </c>
      <c r="B8" s="4" t="inlineStr">
        <is>
          <t>OP01</t>
        </is>
      </c>
      <c r="C8" s="4" t="inlineStr"/>
      <c r="D8" s="4" t="inlineStr">
        <is>
          <t>อุปกรณ์รุ่นเก่าส่งข้อมูลไม่ได้ (ผู้ตอบ U09)</t>
        </is>
      </c>
    </row>
    <row r="9">
      <c r="A9" s="4" t="inlineStr">
        <is>
          <t>U11</t>
        </is>
      </c>
      <c r="B9" s="4" t="inlineStr">
        <is>
          <t>OP01</t>
        </is>
      </c>
      <c r="C9" s="4" t="inlineStr"/>
      <c r="D9" s="4" t="inlineStr">
        <is>
          <t>อุปกรณ์รุ่นเก่าส่งข้อมูลไม่ได้ (ผู้ตอบ U11)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2026-10-18T15:59:19Z</dcterms:created>
  <dcterms:modified xmlns:dcterms="http://purl.org/dc/terms/" xmlns:xsi="http://www.w3.org/2001/XMLSchema-instance" xsi:type="dcterms:W3CDTF">2026-10-18T15:59:19Z</dcterms:modified>
</cp:coreProperties>
</file>